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9a65120b0016095/2024 EUREC_Hanze/S3. Thesis/Pulish/Submission version/2. Supplementary material_PhuongAnh.Nguyen/"/>
    </mc:Choice>
  </mc:AlternateContent>
  <xr:revisionPtr revIDLastSave="4773" documentId="8_{7EC4FE55-EE9B-4475-8534-AB17801647D6}" xr6:coauthVersionLast="47" xr6:coauthVersionMax="47" xr10:uidLastSave="{74C9B97C-2DF5-4896-A122-FA7C7F2813A3}"/>
  <bookViews>
    <workbookView xWindow="-108" yWindow="-108" windowWidth="23256" windowHeight="13896" activeTab="5" xr2:uid="{58FD279A-CCFB-4D0D-B32A-46C76A67F333}"/>
  </bookViews>
  <sheets>
    <sheet name="COMPARISON RESULTs" sheetId="7" r:id="rId1"/>
    <sheet name="LiDAR" sheetId="1" state="hidden" r:id="rId2"/>
    <sheet name="UAVs" sheetId="2" state="hidden" r:id="rId3"/>
    <sheet name="Renting LiDAR - UAVs" sheetId="13" r:id="rId4"/>
    <sheet name="Project finance" sheetId="4" r:id="rId5"/>
    <sheet name="Yearly cashflow" sheetId="10" r:id="rId6"/>
    <sheet name="Sheet1" sheetId="11" state="hidden" r:id="rId7"/>
  </sheets>
  <definedNames>
    <definedName name="_xlchart.v1.0" hidden="1">Sheet1!$D$2:$D$1001</definedName>
    <definedName name="_xlchart.v1.1" hidden="1">Sheet1!$C$2:$C$1001</definedName>
    <definedName name="_xlchart.v1.2" hidden="1">Sheet1!$B$2:$B$1001</definedName>
    <definedName name="_xlchart.v1.3" hidden="1">Sheet1!$E$2:$E$1001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7" i="13" l="1"/>
  <c r="P26" i="13"/>
  <c r="N25" i="13"/>
  <c r="N23" i="13"/>
  <c r="N22" i="13"/>
  <c r="N19" i="13"/>
  <c r="N18" i="13"/>
  <c r="N17" i="13"/>
  <c r="G26" i="13"/>
  <c r="E25" i="13"/>
  <c r="E23" i="13"/>
  <c r="E22" i="13"/>
  <c r="E19" i="13"/>
  <c r="E18" i="13"/>
  <c r="E17" i="13"/>
  <c r="P7" i="13"/>
  <c r="Q7" i="13" s="1"/>
  <c r="P9" i="13"/>
  <c r="Q9" i="13" s="1"/>
  <c r="Q10" i="13"/>
  <c r="N8" i="13"/>
  <c r="Q8" i="13" s="1"/>
  <c r="N6" i="13"/>
  <c r="Q6" i="13" s="1"/>
  <c r="G9" i="13"/>
  <c r="E6" i="13"/>
  <c r="G7" i="13"/>
  <c r="D12" i="4" l="1"/>
  <c r="D4" i="4"/>
  <c r="D9" i="4" l="1"/>
  <c r="E4" i="4"/>
  <c r="C5" i="10" s="1"/>
  <c r="E8" i="13" l="1"/>
  <c r="G24" i="7" l="1"/>
  <c r="L11" i="4"/>
  <c r="F24" i="7"/>
  <c r="M11" i="4"/>
  <c r="Q11" i="13" l="1"/>
  <c r="K11" i="4" s="1"/>
  <c r="J11" i="4"/>
  <c r="D24" i="7"/>
  <c r="D25" i="7" s="1"/>
  <c r="G15" i="7"/>
  <c r="G17" i="7"/>
  <c r="G12" i="7"/>
  <c r="E24" i="7" l="1"/>
  <c r="E25" i="7" s="1"/>
  <c r="G25" i="7"/>
  <c r="F25" i="7"/>
  <c r="G16" i="7"/>
  <c r="F15" i="7"/>
  <c r="F17" i="7"/>
  <c r="F12" i="7"/>
  <c r="M9" i="4" l="1"/>
  <c r="F16" i="7"/>
  <c r="E15" i="7"/>
  <c r="E17" i="7"/>
  <c r="E12" i="7"/>
  <c r="E16" i="7" l="1"/>
  <c r="L9" i="4"/>
  <c r="D15" i="7"/>
  <c r="D17" i="7"/>
  <c r="E19" i="7" s="1"/>
  <c r="D12" i="7"/>
  <c r="D14" i="7" l="1"/>
  <c r="D13" i="7"/>
  <c r="G14" i="7"/>
  <c r="G13" i="7"/>
  <c r="F14" i="7"/>
  <c r="F13" i="7"/>
  <c r="E13" i="7"/>
  <c r="E14" i="7"/>
  <c r="D18" i="7"/>
  <c r="G18" i="7"/>
  <c r="F18" i="7"/>
  <c r="E18" i="7"/>
  <c r="D20" i="7"/>
  <c r="D21" i="7" s="1"/>
  <c r="G20" i="7"/>
  <c r="G21" i="7" s="1"/>
  <c r="F20" i="7"/>
  <c r="F21" i="7" s="1"/>
  <c r="E20" i="7"/>
  <c r="E21" i="7" s="1"/>
  <c r="G19" i="7"/>
  <c r="F19" i="7"/>
  <c r="D19" i="7"/>
  <c r="K9" i="4"/>
  <c r="D16" i="7"/>
  <c r="J14" i="4"/>
  <c r="M14" i="4" s="1"/>
  <c r="J9" i="4" l="1"/>
  <c r="K14" i="4"/>
  <c r="L14" i="4"/>
  <c r="K8" i="4"/>
  <c r="L8" i="4"/>
  <c r="M8" i="4"/>
  <c r="J8" i="4"/>
  <c r="K6" i="4"/>
  <c r="L6" i="4"/>
  <c r="M6" i="4"/>
  <c r="J6" i="4"/>
  <c r="K5" i="4"/>
  <c r="L5" i="4"/>
  <c r="M5" i="4"/>
  <c r="J5" i="4"/>
  <c r="K3" i="4"/>
  <c r="L3" i="4"/>
  <c r="M3" i="4"/>
  <c r="J3" i="4"/>
  <c r="K15" i="4" l="1"/>
  <c r="D20" i="10" s="1"/>
  <c r="J15" i="4"/>
  <c r="M15" i="4" l="1"/>
  <c r="D46" i="10" s="1"/>
  <c r="E46" i="10" s="1"/>
  <c r="F46" i="10" s="1"/>
  <c r="G46" i="10" s="1"/>
  <c r="H46" i="10" s="1"/>
  <c r="I46" i="10" s="1"/>
  <c r="J46" i="10" s="1"/>
  <c r="K46" i="10" s="1"/>
  <c r="L46" i="10" s="1"/>
  <c r="M46" i="10" s="1"/>
  <c r="N46" i="10" s="1"/>
  <c r="O46" i="10" s="1"/>
  <c r="P46" i="10" s="1"/>
  <c r="Q46" i="10" s="1"/>
  <c r="R46" i="10" s="1"/>
  <c r="S46" i="10" s="1"/>
  <c r="T46" i="10" s="1"/>
  <c r="U46" i="10" s="1"/>
  <c r="V46" i="10" s="1"/>
  <c r="W46" i="10" s="1"/>
  <c r="X46" i="10" s="1"/>
  <c r="Y46" i="10" s="1"/>
  <c r="Z46" i="10" s="1"/>
  <c r="AA46" i="10" s="1"/>
  <c r="AB46" i="10" s="1"/>
  <c r="D5" i="4"/>
  <c r="D6" i="4" s="1"/>
  <c r="M7" i="4"/>
  <c r="L7" i="4"/>
  <c r="K7" i="4"/>
  <c r="J7" i="4"/>
  <c r="G22" i="7"/>
  <c r="F22" i="7"/>
  <c r="E22" i="7"/>
  <c r="D22" i="7"/>
  <c r="E9" i="4"/>
  <c r="D8" i="4"/>
  <c r="D17" i="4"/>
  <c r="G10" i="2"/>
  <c r="D4" i="2"/>
  <c r="G4" i="2" s="1"/>
  <c r="K7" i="1"/>
  <c r="K6" i="1"/>
  <c r="K5" i="1"/>
  <c r="J2" i="2"/>
  <c r="O3" i="2"/>
  <c r="O2" i="2"/>
  <c r="J10" i="2"/>
  <c r="P7" i="1"/>
  <c r="J3" i="2"/>
  <c r="J8" i="2"/>
  <c r="L7" i="2"/>
  <c r="J7" i="2"/>
  <c r="G3" i="2"/>
  <c r="G2" i="2"/>
  <c r="T17" i="1"/>
  <c r="G7" i="1"/>
  <c r="G6" i="1"/>
  <c r="G5" i="1"/>
  <c r="E8" i="4" l="1"/>
  <c r="L15" i="4"/>
  <c r="J4" i="2"/>
  <c r="O4" i="2"/>
  <c r="O13" i="2" s="1"/>
  <c r="N14" i="1" s="1"/>
  <c r="K13" i="1"/>
  <c r="K14" i="1" s="1"/>
  <c r="M16" i="4" l="1"/>
  <c r="L16" i="4"/>
  <c r="D32" i="10" s="1"/>
  <c r="J16" i="4"/>
  <c r="K16" i="4"/>
  <c r="E7" i="4"/>
  <c r="L17" i="4"/>
  <c r="L18" i="4" s="1"/>
  <c r="F59" i="7" s="1"/>
  <c r="M17" i="4"/>
  <c r="D45" i="10"/>
  <c r="D47" i="10" s="1"/>
  <c r="E32" i="10"/>
  <c r="E20" i="10"/>
  <c r="D33" i="10"/>
  <c r="D7" i="10"/>
  <c r="J13" i="2"/>
  <c r="N13" i="1" s="1"/>
  <c r="K17" i="4" l="1"/>
  <c r="K18" i="4" s="1"/>
  <c r="E59" i="7" s="1"/>
  <c r="D19" i="10"/>
  <c r="D6" i="10"/>
  <c r="E6" i="10" s="1"/>
  <c r="J17" i="4"/>
  <c r="J18" i="4" s="1"/>
  <c r="E33" i="10"/>
  <c r="F33" i="10" s="1"/>
  <c r="G33" i="10" s="1"/>
  <c r="H33" i="10" s="1"/>
  <c r="I33" i="10" s="1"/>
  <c r="J33" i="10" s="1"/>
  <c r="K33" i="10" s="1"/>
  <c r="L33" i="10" s="1"/>
  <c r="M33" i="10" s="1"/>
  <c r="N33" i="10" s="1"/>
  <c r="O33" i="10" s="1"/>
  <c r="P33" i="10" s="1"/>
  <c r="Q33" i="10" s="1"/>
  <c r="R33" i="10" s="1"/>
  <c r="S33" i="10" s="1"/>
  <c r="T33" i="10" s="1"/>
  <c r="U33" i="10" s="1"/>
  <c r="V33" i="10" s="1"/>
  <c r="W33" i="10" s="1"/>
  <c r="X33" i="10" s="1"/>
  <c r="Y33" i="10" s="1"/>
  <c r="Z33" i="10" s="1"/>
  <c r="AA33" i="10" s="1"/>
  <c r="AB33" i="10" s="1"/>
  <c r="D34" i="10"/>
  <c r="E7" i="10"/>
  <c r="E8" i="10" s="1"/>
  <c r="D8" i="10"/>
  <c r="M18" i="4"/>
  <c r="G59" i="7" s="1"/>
  <c r="F32" i="10"/>
  <c r="F20" i="10"/>
  <c r="D26" i="7"/>
  <c r="J12" i="4"/>
  <c r="K12" i="4"/>
  <c r="K20" i="4"/>
  <c r="E45" i="10"/>
  <c r="E47" i="10" s="1"/>
  <c r="F6" i="10"/>
  <c r="G6" i="10" s="1"/>
  <c r="D59" i="7" l="1"/>
  <c r="J19" i="4"/>
  <c r="J22" i="4" s="1"/>
  <c r="D21" i="10"/>
  <c r="E19" i="10"/>
  <c r="E34" i="10"/>
  <c r="F34" i="10"/>
  <c r="E60" i="7"/>
  <c r="E28" i="7"/>
  <c r="F7" i="10"/>
  <c r="F8" i="10" s="1"/>
  <c r="G32" i="10"/>
  <c r="G34" i="10" s="1"/>
  <c r="G20" i="10"/>
  <c r="E26" i="7"/>
  <c r="K19" i="4"/>
  <c r="K22" i="4" s="1"/>
  <c r="E30" i="7" s="1"/>
  <c r="C18" i="10"/>
  <c r="J20" i="4"/>
  <c r="F45" i="10"/>
  <c r="F47" i="10" s="1"/>
  <c r="M20" i="4"/>
  <c r="L20" i="4"/>
  <c r="H6" i="10"/>
  <c r="F19" i="10" l="1"/>
  <c r="E21" i="10"/>
  <c r="D30" i="7"/>
  <c r="C9" i="10"/>
  <c r="G7" i="10"/>
  <c r="G8" i="10" s="1"/>
  <c r="G10" i="10" s="1"/>
  <c r="G60" i="7"/>
  <c r="G28" i="7"/>
  <c r="F60" i="7"/>
  <c r="F28" i="7"/>
  <c r="D60" i="7"/>
  <c r="D28" i="7"/>
  <c r="H32" i="10"/>
  <c r="H34" i="10" s="1"/>
  <c r="H20" i="10"/>
  <c r="L21" i="4"/>
  <c r="M21" i="4"/>
  <c r="C22" i="10"/>
  <c r="E31" i="7"/>
  <c r="J21" i="4"/>
  <c r="K21" i="4"/>
  <c r="G45" i="10"/>
  <c r="G47" i="10" s="1"/>
  <c r="D31" i="7"/>
  <c r="I6" i="10"/>
  <c r="C10" i="10" l="1"/>
  <c r="D10" i="10"/>
  <c r="E10" i="10"/>
  <c r="G19" i="10"/>
  <c r="F21" i="10"/>
  <c r="F10" i="10"/>
  <c r="H7" i="10"/>
  <c r="H8" i="10" s="1"/>
  <c r="H10" i="10" s="1"/>
  <c r="C23" i="10"/>
  <c r="D23" i="10"/>
  <c r="E29" i="7"/>
  <c r="G29" i="7"/>
  <c r="D29" i="7"/>
  <c r="F29" i="7"/>
  <c r="C27" i="10"/>
  <c r="I32" i="10"/>
  <c r="I34" i="10" s="1"/>
  <c r="E23" i="10"/>
  <c r="F23" i="10"/>
  <c r="I20" i="10"/>
  <c r="Y28" i="10"/>
  <c r="Z28" i="10"/>
  <c r="AA28" i="10"/>
  <c r="AB28" i="10"/>
  <c r="X28" i="10"/>
  <c r="X15" i="10"/>
  <c r="Y15" i="10"/>
  <c r="Z15" i="10"/>
  <c r="AA15" i="10"/>
  <c r="AB15" i="10"/>
  <c r="S28" i="10"/>
  <c r="E28" i="10"/>
  <c r="J28" i="10"/>
  <c r="T28" i="10"/>
  <c r="G28" i="10"/>
  <c r="H28" i="10"/>
  <c r="I28" i="10"/>
  <c r="M28" i="10"/>
  <c r="N28" i="10"/>
  <c r="P28" i="10"/>
  <c r="Q28" i="10"/>
  <c r="R28" i="10"/>
  <c r="U28" i="10"/>
  <c r="W28" i="10"/>
  <c r="F28" i="10"/>
  <c r="V28" i="10"/>
  <c r="D28" i="10"/>
  <c r="K28" i="10"/>
  <c r="L28" i="10"/>
  <c r="O28" i="10"/>
  <c r="D27" i="10"/>
  <c r="E27" i="10"/>
  <c r="F27" i="10"/>
  <c r="G27" i="10"/>
  <c r="E15" i="10"/>
  <c r="F15" i="10"/>
  <c r="G15" i="10"/>
  <c r="H15" i="10"/>
  <c r="I15" i="10"/>
  <c r="J15" i="10"/>
  <c r="G14" i="10"/>
  <c r="H14" i="10"/>
  <c r="N15" i="10"/>
  <c r="P15" i="10"/>
  <c r="R15" i="10"/>
  <c r="T15" i="10"/>
  <c r="U15" i="10"/>
  <c r="W15" i="10"/>
  <c r="D15" i="10"/>
  <c r="D14" i="10"/>
  <c r="E14" i="10"/>
  <c r="F14" i="10"/>
  <c r="K15" i="10"/>
  <c r="L15" i="10"/>
  <c r="M15" i="10"/>
  <c r="I14" i="10"/>
  <c r="O15" i="10"/>
  <c r="Q15" i="10"/>
  <c r="S15" i="10"/>
  <c r="V15" i="10"/>
  <c r="C14" i="10"/>
  <c r="H45" i="10"/>
  <c r="H47" i="10" s="1"/>
  <c r="J6" i="10"/>
  <c r="J14" i="10" s="1"/>
  <c r="H19" i="10" l="1"/>
  <c r="G21" i="10"/>
  <c r="G23" i="10" s="1"/>
  <c r="I7" i="10"/>
  <c r="I8" i="10" s="1"/>
  <c r="I10" i="10" s="1"/>
  <c r="J32" i="10"/>
  <c r="J34" i="10" s="1"/>
  <c r="J20" i="10"/>
  <c r="I45" i="10"/>
  <c r="I47" i="10" s="1"/>
  <c r="K6" i="10"/>
  <c r="K14" i="10" s="1"/>
  <c r="I19" i="10" l="1"/>
  <c r="H21" i="10"/>
  <c r="H23" i="10" s="1"/>
  <c r="H27" i="10"/>
  <c r="J7" i="10"/>
  <c r="J8" i="10" s="1"/>
  <c r="J10" i="10" s="1"/>
  <c r="K32" i="10"/>
  <c r="K34" i="10" s="1"/>
  <c r="K20" i="10"/>
  <c r="J45" i="10"/>
  <c r="J47" i="10" s="1"/>
  <c r="L6" i="10"/>
  <c r="L14" i="10" s="1"/>
  <c r="J19" i="10" l="1"/>
  <c r="I27" i="10"/>
  <c r="I21" i="10"/>
  <c r="I23" i="10" s="1"/>
  <c r="K7" i="10"/>
  <c r="K8" i="10" s="1"/>
  <c r="K10" i="10" s="1"/>
  <c r="L32" i="10"/>
  <c r="L34" i="10" s="1"/>
  <c r="L20" i="10"/>
  <c r="K45" i="10"/>
  <c r="K47" i="10" s="1"/>
  <c r="M6" i="10"/>
  <c r="M14" i="10" s="1"/>
  <c r="J27" i="10" l="1"/>
  <c r="K19" i="10"/>
  <c r="J21" i="10"/>
  <c r="J23" i="10" s="1"/>
  <c r="L7" i="10"/>
  <c r="L8" i="10" s="1"/>
  <c r="L10" i="10" s="1"/>
  <c r="M32" i="10"/>
  <c r="M34" i="10" s="1"/>
  <c r="M20" i="10"/>
  <c r="L45" i="10"/>
  <c r="L47" i="10" s="1"/>
  <c r="N6" i="10"/>
  <c r="N14" i="10" s="1"/>
  <c r="K27" i="10" l="1"/>
  <c r="L19" i="10"/>
  <c r="K21" i="10"/>
  <c r="K23" i="10" s="1"/>
  <c r="M7" i="10"/>
  <c r="M8" i="10" s="1"/>
  <c r="M10" i="10" s="1"/>
  <c r="N32" i="10"/>
  <c r="N34" i="10" s="1"/>
  <c r="N20" i="10"/>
  <c r="M45" i="10"/>
  <c r="M47" i="10" s="1"/>
  <c r="O6" i="10"/>
  <c r="O14" i="10" s="1"/>
  <c r="L27" i="10" l="1"/>
  <c r="M19" i="10"/>
  <c r="L21" i="10"/>
  <c r="L23" i="10" s="1"/>
  <c r="N7" i="10"/>
  <c r="N8" i="10" s="1"/>
  <c r="N10" i="10" s="1"/>
  <c r="O32" i="10"/>
  <c r="O34" i="10" s="1"/>
  <c r="O20" i="10"/>
  <c r="N45" i="10"/>
  <c r="N47" i="10" s="1"/>
  <c r="P6" i="10"/>
  <c r="P14" i="10" s="1"/>
  <c r="M27" i="10" l="1"/>
  <c r="N19" i="10"/>
  <c r="M21" i="10"/>
  <c r="M23" i="10" s="1"/>
  <c r="O7" i="10"/>
  <c r="O8" i="10" s="1"/>
  <c r="O10" i="10" s="1"/>
  <c r="P32" i="10"/>
  <c r="P34" i="10" s="1"/>
  <c r="P20" i="10"/>
  <c r="P7" i="10"/>
  <c r="P8" i="10" s="1"/>
  <c r="P10" i="10" s="1"/>
  <c r="O45" i="10"/>
  <c r="O47" i="10" s="1"/>
  <c r="Q6" i="10"/>
  <c r="Q14" i="10" s="1"/>
  <c r="N27" i="10" l="1"/>
  <c r="O19" i="10"/>
  <c r="N21" i="10"/>
  <c r="N23" i="10" s="1"/>
  <c r="Q32" i="10"/>
  <c r="Q34" i="10" s="1"/>
  <c r="Q20" i="10"/>
  <c r="Q7" i="10"/>
  <c r="Q8" i="10" s="1"/>
  <c r="Q10" i="10" s="1"/>
  <c r="P45" i="10"/>
  <c r="P47" i="10" s="1"/>
  <c r="R6" i="10"/>
  <c r="R14" i="10" s="1"/>
  <c r="O27" i="10" l="1"/>
  <c r="P19" i="10"/>
  <c r="O21" i="10"/>
  <c r="O23" i="10" s="1"/>
  <c r="R32" i="10"/>
  <c r="R34" i="10" s="1"/>
  <c r="R20" i="10"/>
  <c r="R7" i="10"/>
  <c r="R8" i="10" s="1"/>
  <c r="R10" i="10" s="1"/>
  <c r="Q45" i="10"/>
  <c r="Q47" i="10" s="1"/>
  <c r="S6" i="10"/>
  <c r="S14" i="10" s="1"/>
  <c r="P27" i="10" l="1"/>
  <c r="Q19" i="10"/>
  <c r="P21" i="10"/>
  <c r="P23" i="10" s="1"/>
  <c r="S32" i="10"/>
  <c r="S34" i="10" s="1"/>
  <c r="S20" i="10"/>
  <c r="S7" i="10"/>
  <c r="S8" i="10" s="1"/>
  <c r="S10" i="10" s="1"/>
  <c r="R45" i="10"/>
  <c r="R47" i="10" s="1"/>
  <c r="T6" i="10"/>
  <c r="T14" i="10" s="1"/>
  <c r="Q27" i="10" l="1"/>
  <c r="R19" i="10"/>
  <c r="Q21" i="10"/>
  <c r="Q23" i="10" s="1"/>
  <c r="T32" i="10"/>
  <c r="T34" i="10" s="1"/>
  <c r="T20" i="10"/>
  <c r="T7" i="10"/>
  <c r="T8" i="10" s="1"/>
  <c r="T10" i="10" s="1"/>
  <c r="S45" i="10"/>
  <c r="S47" i="10" s="1"/>
  <c r="U6" i="10"/>
  <c r="U14" i="10" s="1"/>
  <c r="R27" i="10" l="1"/>
  <c r="S19" i="10"/>
  <c r="R21" i="10"/>
  <c r="R23" i="10" s="1"/>
  <c r="U32" i="10"/>
  <c r="U34" i="10" s="1"/>
  <c r="U20" i="10"/>
  <c r="U7" i="10"/>
  <c r="U8" i="10" s="1"/>
  <c r="U10" i="10" s="1"/>
  <c r="T45" i="10"/>
  <c r="T47" i="10" s="1"/>
  <c r="V6" i="10"/>
  <c r="V14" i="10" s="1"/>
  <c r="S27" i="10" l="1"/>
  <c r="T19" i="10"/>
  <c r="S21" i="10"/>
  <c r="S23" i="10" s="1"/>
  <c r="V32" i="10"/>
  <c r="V34" i="10" s="1"/>
  <c r="V20" i="10"/>
  <c r="V7" i="10"/>
  <c r="V8" i="10" s="1"/>
  <c r="V10" i="10" s="1"/>
  <c r="U45" i="10"/>
  <c r="U47" i="10" s="1"/>
  <c r="W6" i="10"/>
  <c r="X6" i="10" s="1"/>
  <c r="T27" i="10" l="1"/>
  <c r="U19" i="10"/>
  <c r="T21" i="10"/>
  <c r="T23" i="10" s="1"/>
  <c r="W32" i="10"/>
  <c r="W34" i="10" s="1"/>
  <c r="W20" i="10"/>
  <c r="W7" i="10"/>
  <c r="W8" i="10" s="1"/>
  <c r="W10" i="10" s="1"/>
  <c r="Y6" i="10"/>
  <c r="X14" i="10"/>
  <c r="W14" i="10"/>
  <c r="V45" i="10"/>
  <c r="V47" i="10" s="1"/>
  <c r="U27" i="10" l="1"/>
  <c r="V19" i="10"/>
  <c r="U21" i="10"/>
  <c r="U23" i="10" s="1"/>
  <c r="X32" i="10"/>
  <c r="X34" i="10" s="1"/>
  <c r="X20" i="10"/>
  <c r="X7" i="10"/>
  <c r="X8" i="10" s="1"/>
  <c r="X10" i="10" s="1"/>
  <c r="Z6" i="10"/>
  <c r="Y14" i="10"/>
  <c r="W45" i="10"/>
  <c r="V27" i="10" l="1"/>
  <c r="W19" i="10"/>
  <c r="V21" i="10"/>
  <c r="V23" i="10" s="1"/>
  <c r="Y32" i="10"/>
  <c r="Y34" i="10" s="1"/>
  <c r="X45" i="10"/>
  <c r="X47" i="10" s="1"/>
  <c r="W47" i="10"/>
  <c r="Y20" i="10"/>
  <c r="Y7" i="10"/>
  <c r="Y8" i="10" s="1"/>
  <c r="Y10" i="10" s="1"/>
  <c r="AA6" i="10"/>
  <c r="Z14" i="10"/>
  <c r="W27" i="10" l="1"/>
  <c r="X19" i="10"/>
  <c r="W21" i="10"/>
  <c r="W23" i="10" s="1"/>
  <c r="Z32" i="10"/>
  <c r="Z34" i="10" s="1"/>
  <c r="Y45" i="10"/>
  <c r="Y47" i="10" s="1"/>
  <c r="AA32" i="10"/>
  <c r="AA34" i="10" s="1"/>
  <c r="Z20" i="10"/>
  <c r="Z7" i="10"/>
  <c r="Z8" i="10" s="1"/>
  <c r="Z10" i="10" s="1"/>
  <c r="AB6" i="10"/>
  <c r="AA14" i="10"/>
  <c r="Y19" i="10" l="1"/>
  <c r="X27" i="10"/>
  <c r="X21" i="10"/>
  <c r="X23" i="10" s="1"/>
  <c r="Z45" i="10"/>
  <c r="Z47" i="10" s="1"/>
  <c r="AB32" i="10"/>
  <c r="AB34" i="10" s="1"/>
  <c r="AA20" i="10"/>
  <c r="AA7" i="10"/>
  <c r="AA8" i="10" s="1"/>
  <c r="AA10" i="10" s="1"/>
  <c r="AB14" i="10"/>
  <c r="C13" i="10" s="1"/>
  <c r="J24" i="4" s="1"/>
  <c r="D39" i="7" s="1"/>
  <c r="D40" i="7" s="1"/>
  <c r="D41" i="7" s="1"/>
  <c r="Y27" i="10" l="1"/>
  <c r="Z19" i="10"/>
  <c r="Y21" i="10"/>
  <c r="Y23" i="10" s="1"/>
  <c r="AA45" i="10"/>
  <c r="AA47" i="10" s="1"/>
  <c r="AB20" i="10"/>
  <c r="AB7" i="10"/>
  <c r="AB8" i="10" s="1"/>
  <c r="AB10" i="10" s="1"/>
  <c r="M12" i="4"/>
  <c r="C44" i="10" s="1"/>
  <c r="G26" i="7"/>
  <c r="F26" i="7"/>
  <c r="L12" i="4"/>
  <c r="Z27" i="10" l="1"/>
  <c r="AA19" i="10"/>
  <c r="Z21" i="10"/>
  <c r="Z23" i="10" s="1"/>
  <c r="M19" i="4"/>
  <c r="M22" i="4" s="1"/>
  <c r="G30" i="7" s="1"/>
  <c r="AB45" i="10"/>
  <c r="AB47" i="10" s="1"/>
  <c r="C11" i="10"/>
  <c r="L19" i="4"/>
  <c r="L22" i="4" s="1"/>
  <c r="F30" i="7" s="1"/>
  <c r="C31" i="10"/>
  <c r="AA27" i="10" l="1"/>
  <c r="AB19" i="10"/>
  <c r="AA21" i="10"/>
  <c r="AA23" i="10" s="1"/>
  <c r="G31" i="7"/>
  <c r="C48" i="10"/>
  <c r="D49" i="10" s="1"/>
  <c r="J23" i="4"/>
  <c r="F31" i="7"/>
  <c r="C35" i="10"/>
  <c r="AB27" i="10" l="1"/>
  <c r="C26" i="10" s="1"/>
  <c r="K24" i="4" s="1"/>
  <c r="E39" i="7" s="1"/>
  <c r="E40" i="7" s="1"/>
  <c r="E41" i="7" s="1"/>
  <c r="AB21" i="10"/>
  <c r="AB23" i="10" s="1"/>
  <c r="C24" i="10" s="1"/>
  <c r="K23" i="4" s="1"/>
  <c r="E32" i="7" s="1"/>
  <c r="F45" i="7" s="1"/>
  <c r="C36" i="10"/>
  <c r="D36" i="10"/>
  <c r="V53" i="10"/>
  <c r="W49" i="10"/>
  <c r="D32" i="7"/>
  <c r="F44" i="7" s="1"/>
  <c r="D54" i="10"/>
  <c r="V54" i="10"/>
  <c r="N53" i="10"/>
  <c r="M53" i="10"/>
  <c r="O54" i="10"/>
  <c r="H53" i="10"/>
  <c r="L54" i="10"/>
  <c r="I54" i="10"/>
  <c r="G54" i="10"/>
  <c r="E54" i="10"/>
  <c r="S53" i="10"/>
  <c r="X53" i="10"/>
  <c r="AB54" i="10"/>
  <c r="AA54" i="10"/>
  <c r="Z54" i="10"/>
  <c r="Y54" i="10"/>
  <c r="X54" i="10"/>
  <c r="Y49" i="10"/>
  <c r="X49" i="10"/>
  <c r="V49" i="10"/>
  <c r="F53" i="10"/>
  <c r="J53" i="10"/>
  <c r="E53" i="10"/>
  <c r="T49" i="10"/>
  <c r="F54" i="10"/>
  <c r="I53" i="10"/>
  <c r="W53" i="10"/>
  <c r="R49" i="10"/>
  <c r="G53" i="10"/>
  <c r="Q49" i="10"/>
  <c r="R53" i="10"/>
  <c r="K54" i="10"/>
  <c r="W54" i="10"/>
  <c r="AB53" i="10"/>
  <c r="O49" i="10"/>
  <c r="R54" i="10"/>
  <c r="AA53" i="10"/>
  <c r="J54" i="10"/>
  <c r="Z53" i="10"/>
  <c r="M49" i="10"/>
  <c r="U49" i="10"/>
  <c r="N54" i="10"/>
  <c r="S49" i="10"/>
  <c r="M54" i="10"/>
  <c r="T53" i="10"/>
  <c r="P49" i="10"/>
  <c r="N49" i="10"/>
  <c r="H54" i="10"/>
  <c r="Y53" i="10"/>
  <c r="L49" i="10"/>
  <c r="K49" i="10"/>
  <c r="J49" i="10"/>
  <c r="C49" i="10"/>
  <c r="Q53" i="10"/>
  <c r="O53" i="10"/>
  <c r="C53" i="10"/>
  <c r="I49" i="10"/>
  <c r="U54" i="10"/>
  <c r="S54" i="10"/>
  <c r="H49" i="10"/>
  <c r="P53" i="10"/>
  <c r="Q54" i="10"/>
  <c r="G49" i="10"/>
  <c r="T54" i="10"/>
  <c r="L53" i="10"/>
  <c r="AB49" i="10"/>
  <c r="F49" i="10"/>
  <c r="D53" i="10"/>
  <c r="P54" i="10"/>
  <c r="AA49" i="10"/>
  <c r="E49" i="10"/>
  <c r="U53" i="10"/>
  <c r="K53" i="10"/>
  <c r="Z49" i="10"/>
  <c r="G36" i="10"/>
  <c r="E36" i="10"/>
  <c r="F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D61" i="7"/>
  <c r="D62" i="7" s="1"/>
  <c r="D63" i="7" s="1"/>
  <c r="E61" i="7"/>
  <c r="X41" i="10"/>
  <c r="Y41" i="10"/>
  <c r="Z41" i="10"/>
  <c r="AA41" i="10"/>
  <c r="AB41" i="10"/>
  <c r="X40" i="10"/>
  <c r="Y40" i="10"/>
  <c r="Z40" i="10"/>
  <c r="AA40" i="10"/>
  <c r="AB40" i="10"/>
  <c r="T40" i="10"/>
  <c r="U40" i="10"/>
  <c r="V40" i="10"/>
  <c r="E41" i="10"/>
  <c r="W40" i="10"/>
  <c r="G41" i="10"/>
  <c r="D41" i="10"/>
  <c r="D40" i="10"/>
  <c r="I41" i="10"/>
  <c r="F40" i="10"/>
  <c r="M41" i="10"/>
  <c r="Q41" i="10"/>
  <c r="N40" i="10"/>
  <c r="T41" i="10"/>
  <c r="U41" i="10"/>
  <c r="W41" i="10"/>
  <c r="F41" i="10"/>
  <c r="H41" i="10"/>
  <c r="E40" i="10"/>
  <c r="J41" i="10"/>
  <c r="I40" i="10"/>
  <c r="N41" i="10"/>
  <c r="O41" i="10"/>
  <c r="S41" i="10"/>
  <c r="V41" i="10"/>
  <c r="K41" i="10"/>
  <c r="G40" i="10"/>
  <c r="L41" i="10"/>
  <c r="H40" i="10"/>
  <c r="J40" i="10"/>
  <c r="K40" i="10"/>
  <c r="P41" i="10"/>
  <c r="L40" i="10"/>
  <c r="M40" i="10"/>
  <c r="R41" i="10"/>
  <c r="O40" i="10"/>
  <c r="P40" i="10"/>
  <c r="Q40" i="10"/>
  <c r="R40" i="10"/>
  <c r="S40" i="10"/>
  <c r="C40" i="10"/>
  <c r="D34" i="7" l="1"/>
  <c r="E33" i="7"/>
  <c r="D33" i="7"/>
  <c r="D35" i="7" s="1"/>
  <c r="C52" i="10"/>
  <c r="M24" i="4" s="1"/>
  <c r="G39" i="7" s="1"/>
  <c r="G40" i="7" s="1"/>
  <c r="G41" i="7" s="1"/>
  <c r="C50" i="10"/>
  <c r="M23" i="4" s="1"/>
  <c r="G32" i="7" s="1"/>
  <c r="F47" i="7" s="1"/>
  <c r="E62" i="7"/>
  <c r="E63" i="7" s="1"/>
  <c r="C39" i="10"/>
  <c r="L24" i="4" s="1"/>
  <c r="F39" i="7" s="1"/>
  <c r="F40" i="7" s="1"/>
  <c r="F41" i="7" s="1"/>
  <c r="C37" i="10"/>
  <c r="L23" i="4" s="1"/>
  <c r="F32" i="7" s="1"/>
  <c r="F46" i="7" s="1"/>
  <c r="E34" i="7" l="1"/>
  <c r="G45" i="7"/>
  <c r="E35" i="7"/>
  <c r="E37" i="7"/>
  <c r="G33" i="7"/>
  <c r="F33" i="7"/>
  <c r="G61" i="7"/>
  <c r="G62" i="7" s="1"/>
  <c r="G63" i="7" s="1"/>
  <c r="F61" i="7"/>
  <c r="F62" i="7" s="1"/>
  <c r="F63" i="7" s="1"/>
  <c r="F34" i="7" l="1"/>
  <c r="G46" i="7"/>
  <c r="G37" i="7"/>
  <c r="G47" i="7"/>
  <c r="G34" i="7"/>
  <c r="F35" i="7"/>
  <c r="F37" i="7"/>
  <c r="G35" i="7"/>
</calcChain>
</file>

<file path=xl/sharedStrings.xml><?xml version="1.0" encoding="utf-8"?>
<sst xmlns="http://schemas.openxmlformats.org/spreadsheetml/2006/main" count="517" uniqueCount="263">
  <si>
    <t>Cost</t>
  </si>
  <si>
    <t>Vertical profiling LiDAR</t>
  </si>
  <si>
    <t>WindCube LIDAR Vertical Wind Profiler</t>
  </si>
  <si>
    <t>$/month</t>
  </si>
  <si>
    <t>[Source]</t>
  </si>
  <si>
    <t>£/year</t>
  </si>
  <si>
    <t>A.</t>
  </si>
  <si>
    <t>B.</t>
  </si>
  <si>
    <t>Commission fee (setup, onsite delivery, commission)</t>
  </si>
  <si>
    <t>Monthly Rental fee</t>
  </si>
  <si>
    <t xml:space="preserve">ZX300 LiDAR </t>
  </si>
  <si>
    <t>€/year</t>
  </si>
  <si>
    <t>ZephIR 300</t>
  </si>
  <si>
    <t>(* inflation)</t>
  </si>
  <si>
    <t xml:space="preserve">C. </t>
  </si>
  <si>
    <t>Power supply / infrastructure cost (For remote deployments, autonomous power supply (solar + battery + fuel cell, diesel generator) is required. The “Power Supply Operation Fee” covers fuel, maintenance etc.)</t>
  </si>
  <si>
    <t>D.</t>
  </si>
  <si>
    <t>Maintenance / servicing / data quality assurance (calibration, repair, data verification (especially for bankable campaigns)</t>
  </si>
  <si>
    <t>plus mobilisation/power etc maybe</t>
  </si>
  <si>
    <t>Year</t>
  </si>
  <si>
    <t>Annual Inflation Rate (approx.)</t>
  </si>
  <si>
    <t>UK inflation rate</t>
  </si>
  <si>
    <t>Estimate: For upland and big farms =&gt; extra power supply/trailer/fuel/security =&gt; extra 10-20%</t>
  </si>
  <si>
    <t>Drone cost</t>
  </si>
  <si>
    <t>(purchase)</t>
  </si>
  <si>
    <t>$/drone</t>
  </si>
  <si>
    <t xml:space="preserve">[Source] </t>
  </si>
  <si>
    <t>€/drone</t>
  </si>
  <si>
    <r>
      <t>Entry-Level VTOL Drones:</t>
    </r>
    <r>
      <rPr>
        <sz val="8"/>
        <color rgb="FF192730"/>
        <rFont val="Arial"/>
        <family val="2"/>
      </rPr>
      <t> $8,000 – $15,000</t>
    </r>
  </si>
  <si>
    <t>€/2 drones</t>
  </si>
  <si>
    <t>€/3 drones</t>
  </si>
  <si>
    <t xml:space="preserve">Availablity </t>
  </si>
  <si>
    <t>IEC: độ sẵn sàng (data availability) cao, thường &gt;80% trong suốt thời gian đo</t>
  </si>
  <si>
    <t>hour/year</t>
  </si>
  <si>
    <t>hour/1.5 year</t>
  </si>
  <si>
    <t>€/person/year</t>
  </si>
  <si>
    <t>Other</t>
  </si>
  <si>
    <t>~ 6500 (in LiDAR)</t>
  </si>
  <si>
    <t xml:space="preserve">Salary of pilot + data </t>
  </si>
  <si>
    <t>1 LIDAR</t>
  </si>
  <si>
    <t>2 LIDAR</t>
  </si>
  <si>
    <t>2 drones</t>
  </si>
  <si>
    <t>3 drones</t>
  </si>
  <si>
    <t>%</t>
  </si>
  <si>
    <t>year</t>
  </si>
  <si>
    <t>CAPEX</t>
  </si>
  <si>
    <t>E/MW</t>
  </si>
  <si>
    <t>Construction phase</t>
  </si>
  <si>
    <t>OPEX</t>
  </si>
  <si>
    <t>MW</t>
  </si>
  <si>
    <t>E/MW/year</t>
  </si>
  <si>
    <t>WACC (normial)</t>
  </si>
  <si>
    <t>Source: Fraunhofer ISE</t>
  </si>
  <si>
    <t xml:space="preserve">Power supply / infrastructure cost </t>
  </si>
  <si>
    <t>Renting drone</t>
  </si>
  <si>
    <t>60% purchase price</t>
  </si>
  <si>
    <t>Control system</t>
  </si>
  <si>
    <t>Power supply/infrastructual</t>
  </si>
  <si>
    <t xml:space="preserve">Pilot </t>
  </si>
  <si>
    <t>3 people/day</t>
  </si>
  <si>
    <t>Onsite install/setup + decomission</t>
  </si>
  <si>
    <t>Data handle</t>
  </si>
  <si>
    <t>TOTAL</t>
  </si>
  <si>
    <t>NOTE</t>
  </si>
  <si>
    <t>No.</t>
  </si>
  <si>
    <t>1 day = 3 skips =&gt; 3 people</t>
  </si>
  <si>
    <t>ONE-YEAR CAMPAIGN of ONSITE WIND MEASUREMENT</t>
  </si>
  <si>
    <t>ONSHORE PROJECT COST</t>
  </si>
  <si>
    <t>Installed capacity</t>
  </si>
  <si>
    <t>Lifetime</t>
  </si>
  <si>
    <t>E/MWh</t>
  </si>
  <si>
    <t>Bid price of onshore project</t>
  </si>
  <si>
    <t>Source: 5.73 and 7.35 ct/kWh</t>
  </si>
  <si>
    <t>Align with data of Fraunhofer ISE</t>
  </si>
  <si>
    <t>Development phase (pre-construction)</t>
  </si>
  <si>
    <t>Fixed cost</t>
  </si>
  <si>
    <t>Variable cost</t>
  </si>
  <si>
    <t>Assume: 10% CAPEX</t>
  </si>
  <si>
    <t>Assume: 90% CAPEX</t>
  </si>
  <si>
    <t>Source</t>
  </si>
  <si>
    <t>No</t>
  </si>
  <si>
    <t>Uncertainty components</t>
  </si>
  <si>
    <t>Measurement</t>
  </si>
  <si>
    <t>Wind speed: ±0.5 m/s</t>
  </si>
  <si>
    <t>Wind speed: ±8%</t>
  </si>
  <si>
    <t>Mean AEP (P50) (MWh)</t>
  </si>
  <si>
    <t>P90 (MWh)</t>
  </si>
  <si>
    <t>P90/P50 ratio (%)</t>
  </si>
  <si>
    <t>StdDev of P50 (MWh)</t>
  </si>
  <si>
    <t>StdDev of P50 (%)</t>
  </si>
  <si>
    <t>Wind speed: ±5%</t>
  </si>
  <si>
    <t xml:space="preserve">Wind direction: ±10°. </t>
  </si>
  <si>
    <t>TARIFF</t>
  </si>
  <si>
    <t>NPV</t>
  </si>
  <si>
    <t>Revenue</t>
  </si>
  <si>
    <t>COST OF CAMPAIGN</t>
  </si>
  <si>
    <t>ENERGY YIELD</t>
  </si>
  <si>
    <t>Note:</t>
  </si>
  <si>
    <t>(*)</t>
  </si>
  <si>
    <t>DSCR (Debt Service Coverage Ratio) is a constraint to ensure that the bank can recover debt from project cash flow.</t>
  </si>
  <si>
    <t>As the uncertainty of AEP (StdDev %) decreases, P90/P50 ratio increases → Banks reduce target DSCR requirement (from 1.35 → 1.30 → 1.25,…).</t>
  </si>
  <si>
    <t xml:space="preserve">Assumption: </t>
  </si>
  <si>
    <t>To be bankable, DSCR of a project needs to be at least 1 (DSCR ≥ 1). In Germany the DSCR target is ~1.2 for typical simple onshore wind farms</t>
  </si>
  <si>
    <t xml:space="preserve">For stable, low-risk assets, typical onshore wind farm in flat terrain </t>
  </si>
  <si>
    <t>DSCR target</t>
  </si>
  <si>
    <t>For very risky projects</t>
  </si>
  <si>
    <t>For typical offshore or higher-uncertainty onshore projects</t>
  </si>
  <si>
    <t>FINANCIAL CASH FLOW</t>
  </si>
  <si>
    <t>Share of debt (15 years)</t>
  </si>
  <si>
    <t>PROJECT FINANCE STRUSTURE (TARGET)</t>
  </si>
  <si>
    <t>Tax</t>
  </si>
  <si>
    <t>OPEX (€/year)</t>
  </si>
  <si>
    <t>Revenue_P90 (€/year)</t>
  </si>
  <si>
    <t>Share of debt (%)</t>
  </si>
  <si>
    <t>Debt service_DSCR target (year)</t>
  </si>
  <si>
    <t>Share of equity (15 years)</t>
  </si>
  <si>
    <t>WACC</t>
  </si>
  <si>
    <t>WACC (%)</t>
  </si>
  <si>
    <t>Equity size (€/project)</t>
  </si>
  <si>
    <t>Scenario 1</t>
  </si>
  <si>
    <t>PV_yearly</t>
  </si>
  <si>
    <t>Scenario 2</t>
  </si>
  <si>
    <t>Scenario 3</t>
  </si>
  <si>
    <t>Scenario 4</t>
  </si>
  <si>
    <t>NPV (€/project)</t>
  </si>
  <si>
    <t>Cost (€)</t>
  </si>
  <si>
    <t>Δ Cost (€)</t>
  </si>
  <si>
    <t>(extrapolation)</t>
  </si>
  <si>
    <t>(intrapolation)</t>
  </si>
  <si>
    <t xml:space="preserve">applied T4-6-12-14-18-19-20 </t>
  </si>
  <si>
    <t>applied all turbines</t>
  </si>
  <si>
    <r>
      <t xml:space="preserve">SCENARIO 1 : </t>
    </r>
    <r>
      <rPr>
        <b/>
        <sz val="11"/>
        <color rgb="FFC00000"/>
        <rFont val="Aptos Narrow"/>
        <family val="2"/>
        <scheme val="minor"/>
      </rPr>
      <t>LiDAR_1</t>
    </r>
  </si>
  <si>
    <r>
      <t xml:space="preserve">SCENARIO 2 : </t>
    </r>
    <r>
      <rPr>
        <b/>
        <sz val="11"/>
        <color rgb="FFC00000"/>
        <rFont val="Aptos Narrow"/>
        <family val="2"/>
        <scheme val="minor"/>
      </rPr>
      <t>LiDAR_2</t>
    </r>
  </si>
  <si>
    <r>
      <t xml:space="preserve">SCENARIO 3 : </t>
    </r>
    <r>
      <rPr>
        <b/>
        <sz val="11"/>
        <color rgb="FFC00000"/>
        <rFont val="Aptos Narrow"/>
        <family val="2"/>
        <scheme val="minor"/>
      </rPr>
      <t>UAV_2</t>
    </r>
  </si>
  <si>
    <r>
      <t xml:space="preserve">SCENARIO 4 : </t>
    </r>
    <r>
      <rPr>
        <b/>
        <sz val="11"/>
        <color rgb="FFC00000"/>
        <rFont val="Aptos Narrow"/>
        <family val="2"/>
        <scheme val="minor"/>
      </rPr>
      <t>UAV_4</t>
    </r>
  </si>
  <si>
    <t>applied to measured data</t>
  </si>
  <si>
    <t>applied to all turbines</t>
  </si>
  <si>
    <t>Flow model/
Spacial variability</t>
  </si>
  <si>
    <t>€</t>
  </si>
  <si>
    <t>Assume</t>
  </si>
  <si>
    <t>COST OF WRA CAMPAIGN (1 year)</t>
  </si>
  <si>
    <t>DSCR (Debt Service Coverage Ratio) Target (*) = 1.35. Project lifetime: 25 years</t>
  </si>
  <si>
    <t>P50</t>
  </si>
  <si>
    <t>P90</t>
  </si>
  <si>
    <t>P50 std.dev</t>
  </si>
  <si>
    <t>Project NPV</t>
  </si>
  <si>
    <t>Δ NPV</t>
  </si>
  <si>
    <t>Cost of debt</t>
  </si>
  <si>
    <t>Cost of equity (Return on  equity)</t>
  </si>
  <si>
    <t>LCOE</t>
  </si>
  <si>
    <t>LCOE (€/MWh)</t>
  </si>
  <si>
    <t>Discounted CAPEX and OPEX</t>
  </si>
  <si>
    <t>Discounted E.Production</t>
  </si>
  <si>
    <t>Debt capacity (€/project)</t>
  </si>
  <si>
    <t>LiDAR_1</t>
  </si>
  <si>
    <t>LiDAR_2</t>
  </si>
  <si>
    <t>UAV_2</t>
  </si>
  <si>
    <t>UAV_4</t>
  </si>
  <si>
    <t>Debt capacity (€)</t>
  </si>
  <si>
    <t>Share of Debt in CAPEX (%)</t>
  </si>
  <si>
    <t>NPV (€)</t>
  </si>
  <si>
    <t>Δ NPV (€)</t>
  </si>
  <si>
    <t>Δ NPV (%)</t>
  </si>
  <si>
    <t xml:space="preserve">EBIT </t>
  </si>
  <si>
    <t>Return on investment (ΔNPV per extra € of WRA spend)</t>
  </si>
  <si>
    <t>Wind speed: ±0.4 m/s</t>
  </si>
  <si>
    <t>Cost component</t>
  </si>
  <si>
    <t>drone</t>
  </si>
  <si>
    <t>system</t>
  </si>
  <si>
    <t>km</t>
  </si>
  <si>
    <t>%FTE</t>
  </si>
  <si>
    <t>Commission fee &amp; delivery  (setup, onsite delivery, commission, control system)</t>
  </si>
  <si>
    <t xml:space="preserve">Power supply </t>
  </si>
  <si>
    <t>Yearly Rental fee of LiDARs</t>
  </si>
  <si>
    <t>Yearly rental fee of drones and control system</t>
  </si>
  <si>
    <t>LiDAR</t>
  </si>
  <si>
    <t>€/km</t>
  </si>
  <si>
    <t>€/kWh</t>
  </si>
  <si>
    <t>kWh/system</t>
  </si>
  <si>
    <t>€/dataset</t>
  </si>
  <si>
    <t>dataset</t>
  </si>
  <si>
    <t>kWh/2system</t>
  </si>
  <si>
    <t>€/system</t>
  </si>
  <si>
    <t>€/marchine</t>
  </si>
  <si>
    <t>€/panel</t>
  </si>
  <si>
    <t>panel</t>
  </si>
  <si>
    <t>€/battery</t>
  </si>
  <si>
    <t>battery</t>
  </si>
  <si>
    <t>marchine</t>
  </si>
  <si>
    <t>mast</t>
  </si>
  <si>
    <t>Control system &amp; Maintainance (transport trailer, installation and operation of LiDAR measuring system, Mobile GSM connection, Mounting bracket for PV Panels)</t>
  </si>
  <si>
    <t>CAPEX_Drone purchase price</t>
  </si>
  <si>
    <t>CAPEX_Communication system</t>
  </si>
  <si>
    <t>CAPEX_Battery &amp; Charger</t>
  </si>
  <si>
    <t>CAPEX_Disel generator</t>
  </si>
  <si>
    <t>CAPEX_12 solar panels</t>
  </si>
  <si>
    <t>CAPEX_Short masts</t>
  </si>
  <si>
    <t>CAPEX_Container &amp; others</t>
  </si>
  <si>
    <t>OPEX_Operational specialist salary</t>
  </si>
  <si>
    <t>OPEX_Drone maintainance</t>
  </si>
  <si>
    <t>€/drone/year</t>
  </si>
  <si>
    <t xml:space="preserve">Profit margin </t>
  </si>
  <si>
    <t xml:space="preserve">Commission fee &amp; delivery </t>
  </si>
  <si>
    <t>NPV (Base case) [€]</t>
  </si>
  <si>
    <r>
      <rPr>
        <b/>
        <sz val="11"/>
        <color rgb="FFC00000"/>
        <rFont val="Aptos Narrow"/>
        <family val="2"/>
        <scheme val="minor"/>
      </rPr>
      <t>Δ NPV</t>
    </r>
    <r>
      <rPr>
        <sz val="11"/>
        <color theme="1"/>
        <rFont val="Aptos Narrow"/>
        <family val="2"/>
        <scheme val="minor"/>
      </rPr>
      <t xml:space="preserve"> [</t>
    </r>
    <r>
      <rPr>
        <sz val="11"/>
        <color theme="1"/>
        <rFont val="Aptos Narrow"/>
        <family val="2"/>
      </rPr>
      <t>€]</t>
    </r>
  </si>
  <si>
    <r>
      <rPr>
        <b/>
        <sz val="11"/>
        <color rgb="FFC00000"/>
        <rFont val="Aptos Narrow"/>
        <family val="2"/>
        <scheme val="minor"/>
      </rPr>
      <t>Δ NPV</t>
    </r>
    <r>
      <rPr>
        <sz val="11"/>
        <color theme="1"/>
        <rFont val="Aptos Narrow"/>
        <family val="2"/>
        <scheme val="minor"/>
      </rPr>
      <t xml:space="preserve"> [%]</t>
    </r>
  </si>
  <si>
    <t>StdDev of P50 [MWh]</t>
  </si>
  <si>
    <t>StdDev of P50 [%]</t>
  </si>
  <si>
    <r>
      <rPr>
        <b/>
        <sz val="11"/>
        <color theme="4"/>
        <rFont val="Aptos Narrow"/>
        <family val="2"/>
      </rPr>
      <t>Δ</t>
    </r>
    <r>
      <rPr>
        <b/>
        <sz val="11"/>
        <color theme="4"/>
        <rFont val="Aptos Narrow"/>
        <family val="2"/>
        <scheme val="minor"/>
      </rPr>
      <t>P90</t>
    </r>
    <r>
      <rPr>
        <sz val="11"/>
        <color theme="1"/>
        <rFont val="Aptos Narrow"/>
        <family val="2"/>
        <scheme val="minor"/>
      </rPr>
      <t xml:space="preserve"> [MWh]</t>
    </r>
  </si>
  <si>
    <t>ΔP90 [%]</t>
  </si>
  <si>
    <t>ΔP90 [MWh]</t>
  </si>
  <si>
    <t>P90 (Base case) [MWh]</t>
  </si>
  <si>
    <t>P90/P50 ratio [%]</t>
  </si>
  <si>
    <t>Cost [€]</t>
  </si>
  <si>
    <t>ΔCost [€]</t>
  </si>
  <si>
    <t>ΔCost [%]</t>
  </si>
  <si>
    <t>Share of Debt [% CAPEX]</t>
  </si>
  <si>
    <r>
      <rPr>
        <b/>
        <sz val="11"/>
        <color theme="5"/>
        <rFont val="Aptos Narrow"/>
        <family val="2"/>
      </rPr>
      <t>Δ Share of Debt</t>
    </r>
    <r>
      <rPr>
        <sz val="11"/>
        <color theme="1"/>
        <rFont val="Aptos Narrow"/>
        <family val="2"/>
      </rPr>
      <t xml:space="preserve"> [%]</t>
    </r>
  </si>
  <si>
    <t>WACC [%]</t>
  </si>
  <si>
    <t>Δ WACC [%]</t>
  </si>
  <si>
    <r>
      <rPr>
        <b/>
        <sz val="11"/>
        <color rgb="FFC00000"/>
        <rFont val="Aptos Narrow"/>
        <family val="2"/>
      </rPr>
      <t>NPV</t>
    </r>
    <r>
      <rPr>
        <sz val="11"/>
        <color theme="1"/>
        <rFont val="Aptos Narrow"/>
        <family val="2"/>
      </rPr>
      <t xml:space="preserve"> [€]</t>
    </r>
  </si>
  <si>
    <t>LCOE [€/MWh]</t>
  </si>
  <si>
    <t>ΔLCOE [€/MWh]</t>
  </si>
  <si>
    <t>ΔLCOE [%]</t>
  </si>
  <si>
    <r>
      <rPr>
        <b/>
        <sz val="11"/>
        <color theme="4"/>
        <rFont val="Aptos Narrow"/>
        <family val="2"/>
        <scheme val="minor"/>
      </rPr>
      <t>Mean AEP (P50)</t>
    </r>
    <r>
      <rPr>
        <sz val="11"/>
        <color theme="1"/>
        <rFont val="Aptos Narrow"/>
        <family val="2"/>
        <scheme val="minor"/>
      </rPr>
      <t xml:space="preserve"> [MWh]</t>
    </r>
  </si>
  <si>
    <t>Unit 1</t>
  </si>
  <si>
    <t>Unit 2</t>
  </si>
  <si>
    <t>Quota 1</t>
  </si>
  <si>
    <t>Quota 2</t>
  </si>
  <si>
    <t>Quantity</t>
  </si>
  <si>
    <r>
      <rPr>
        <b/>
        <sz val="11"/>
        <color theme="4"/>
        <rFont val="Aptos Narrow"/>
        <family val="2"/>
        <scheme val="minor"/>
      </rPr>
      <t>P90</t>
    </r>
    <r>
      <rPr>
        <sz val="11"/>
        <color theme="1"/>
        <rFont val="Aptos Narrow"/>
        <family val="2"/>
        <scheme val="minor"/>
      </rPr>
      <t xml:space="preserve"> [MWh]</t>
    </r>
  </si>
  <si>
    <r>
      <rPr>
        <b/>
        <sz val="11"/>
        <color theme="4"/>
        <rFont val="Aptos Narrow"/>
        <family val="2"/>
      </rPr>
      <t>Δ</t>
    </r>
    <r>
      <rPr>
        <b/>
        <sz val="11"/>
        <color theme="4"/>
        <rFont val="Aptos Narrow"/>
        <family val="2"/>
        <scheme val="minor"/>
      </rPr>
      <t>P50</t>
    </r>
    <r>
      <rPr>
        <sz val="11"/>
        <color theme="1"/>
        <rFont val="Aptos Narrow"/>
        <family val="2"/>
        <scheme val="minor"/>
      </rPr>
      <t xml:space="preserve"> [MWh]</t>
    </r>
  </si>
  <si>
    <t>ΔP50 [%]</t>
  </si>
  <si>
    <r>
      <rPr>
        <sz val="11"/>
        <color rgb="FFC00000"/>
        <rFont val="Aptos Narrow"/>
        <family val="2"/>
      </rPr>
      <t>ΔNPV</t>
    </r>
    <r>
      <rPr>
        <sz val="11"/>
        <color theme="1"/>
        <rFont val="Aptos Narrow"/>
        <family val="2"/>
      </rPr>
      <t>/</t>
    </r>
    <r>
      <rPr>
        <sz val="11"/>
        <color rgb="FFC89800"/>
        <rFont val="Aptos Narrow"/>
        <family val="2"/>
      </rPr>
      <t>ΔCost</t>
    </r>
    <r>
      <rPr>
        <sz val="11"/>
        <color theme="1"/>
        <rFont val="Aptos Narrow"/>
        <family val="2"/>
      </rPr>
      <t xml:space="preserve"> (€/€)</t>
    </r>
  </si>
  <si>
    <t xml:space="preserve">Wind direction: ±7°. </t>
  </si>
  <si>
    <t>CALCULATION</t>
  </si>
  <si>
    <t>(confidential)</t>
  </si>
  <si>
    <t>Alveo AB</t>
  </si>
  <si>
    <t>Quote 1</t>
  </si>
  <si>
    <t>Assumed</t>
  </si>
  <si>
    <t>Quote 2</t>
  </si>
  <si>
    <t>Quote 3</t>
  </si>
  <si>
    <t>Quote 4</t>
  </si>
  <si>
    <t>Quote 5</t>
  </si>
  <si>
    <t>Quote 6</t>
  </si>
  <si>
    <t>Quote 7</t>
  </si>
  <si>
    <t>Quote 8</t>
  </si>
  <si>
    <t>Quote 9</t>
  </si>
  <si>
    <t>Quote 10</t>
  </si>
  <si>
    <t>Quote 11</t>
  </si>
  <si>
    <t xml:space="preserve">References of Quotes: </t>
  </si>
  <si>
    <t>ProfEC Ventus GmbH. (2025c, October). WindCube LIDAR Mietservice (monthly). https://shop.profec-ventus.com/product_info.php?info=p423_windcube-lidar-rental-service--monthly-.html</t>
  </si>
  <si>
    <t>ProfEC Ventus GmbH. (2025b, October). LiDAR Trailer Rental Service. One Stop Wind Shop:  Measurement Equipment and Services. http://shop.profec-ventus.com/index.php</t>
  </si>
  <si>
    <t>ProfEC Ventus GmbH. (2025a, October). Bankable Installation Report—Ilac-MRA accred-ited as per ISO 17025. One Stop Wind Shop:  Measurement Equipment and Ser-vices. https://shop.profec-ventus.com/product_info.php?info=p455_bankable-installation-report---ilac-mra-accredited-as-per-iso-17025.html</t>
  </si>
  <si>
    <t>Hinaray. (2025, June 3). How Much Does a VTOL Fixed Wing Drone Cost in 2025. https://hinaray.com/how-much-does-a-vtol-fixed-wing-drone-cost-in-2025/</t>
  </si>
  <si>
    <t>Alibaba.com. (2025f). Networking Air-ground communication system. https://www.alibaba.com/</t>
  </si>
  <si>
    <t>Alibaba.com. (2025a). 10kwh 15KWH 20KWH Stackable Battery Home Energy Storage System. https://www.alibaba.com/</t>
  </si>
  <si>
    <t>Alibaba.com. (2025c). Diesel Generator Diesel Silent. Www.Alibaba.Com. https://www.alibaba.com/</t>
  </si>
  <si>
    <t>Alibaba.com. (2025d). Home Solar Price 500w PV Panels. https://www.alibaba.com/</t>
  </si>
  <si>
    <t>Alibaba.com. (2025e). Lightweight Portable Telescopic Mast By Air. https://www.alibaba.com/</t>
  </si>
  <si>
    <t>Alibaba.com. (2025b). Detachable Container. https://www.alibaba.com/</t>
  </si>
  <si>
    <t>FinModelsLab.com. (2025). Drone Maintenance Cost Breakdown: Save on Operating Ex-penses. https://finmodelslab.com/blogs/operating-costs/drone-maintenance</t>
  </si>
  <si>
    <t xml:space="preserve">COMPARISON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</si>
</sst>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0.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  <font>
      <b/>
      <sz val="8"/>
      <color rgb="FF001D35"/>
      <name val="Arial"/>
      <family val="2"/>
    </font>
    <font>
      <sz val="8"/>
      <color rgb="FF001D35"/>
      <name val="Arial"/>
      <family val="2"/>
    </font>
    <font>
      <b/>
      <sz val="11"/>
      <color theme="1"/>
      <name val="Aptos Narrow"/>
      <family val="2"/>
    </font>
    <font>
      <sz val="8"/>
      <color rgb="FF192730"/>
      <name val="Arial"/>
      <family val="2"/>
    </font>
    <font>
      <b/>
      <sz val="8"/>
      <color rgb="FF192730"/>
      <name val="Arial"/>
      <family val="2"/>
    </font>
    <font>
      <sz val="11"/>
      <color theme="4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i/>
      <sz val="11"/>
      <color theme="1"/>
      <name val="Aptos Narrow"/>
      <family val="2"/>
    </font>
    <font>
      <i/>
      <sz val="11"/>
      <color theme="1" tint="0.499984740745262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5"/>
      <name val="Aptos Narrow"/>
      <family val="2"/>
    </font>
    <font>
      <sz val="11"/>
      <color theme="3"/>
      <name val="Aptos Narrow"/>
      <family val="2"/>
    </font>
    <font>
      <sz val="11"/>
      <color theme="0" tint="-4.9989318521683403E-2"/>
      <name val="Aptos Narrow"/>
      <family val="2"/>
      <scheme val="minor"/>
    </font>
    <font>
      <sz val="12"/>
      <color theme="1"/>
      <name val="Arial"/>
      <family val="2"/>
    </font>
    <font>
      <b/>
      <sz val="11"/>
      <color rgb="FFC00000"/>
      <name val="Aptos Narrow"/>
      <family val="2"/>
    </font>
    <font>
      <sz val="11"/>
      <color theme="0"/>
      <name val="Aptos Narrow"/>
      <family val="2"/>
      <scheme val="minor"/>
    </font>
    <font>
      <sz val="11"/>
      <color rgb="FFC00000"/>
      <name val="Aptos Narrow"/>
      <family val="2"/>
    </font>
    <font>
      <sz val="11"/>
      <color rgb="FFC89800"/>
      <name val="Aptos Narrow"/>
      <family val="2"/>
    </font>
    <font>
      <b/>
      <sz val="11"/>
      <color theme="4"/>
      <name val="Aptos Narrow"/>
      <family val="2"/>
    </font>
    <font>
      <sz val="11"/>
      <color rgb="FF7030A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A3C9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0">
    <xf numFmtId="0" fontId="0" fillId="0" borderId="0" xfId="0"/>
    <xf numFmtId="0" fontId="3" fillId="0" borderId="0" xfId="3"/>
    <xf numFmtId="0" fontId="4" fillId="0" borderId="0" xfId="0" applyFont="1"/>
    <xf numFmtId="165" fontId="0" fillId="0" borderId="0" xfId="1" applyNumberFormat="1" applyFont="1"/>
    <xf numFmtId="0" fontId="2" fillId="0" borderId="0" xfId="0" applyFont="1"/>
    <xf numFmtId="165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10" fontId="6" fillId="2" borderId="1" xfId="0" applyNumberFormat="1" applyFont="1" applyFill="1" applyBorder="1" applyAlignment="1">
      <alignment vertical="center" wrapText="1"/>
    </xf>
    <xf numFmtId="10" fontId="0" fillId="0" borderId="0" xfId="0" applyNumberFormat="1"/>
    <xf numFmtId="0" fontId="7" fillId="0" borderId="0" xfId="0" applyFont="1"/>
    <xf numFmtId="165" fontId="2" fillId="0" borderId="0" xfId="0" applyNumberFormat="1" applyFont="1"/>
    <xf numFmtId="0" fontId="9" fillId="0" borderId="0" xfId="0" applyFont="1" applyAlignment="1">
      <alignment horizontal="left" vertical="center" indent="1"/>
    </xf>
    <xf numFmtId="9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1" applyNumberFormat="1" applyFont="1" applyAlignment="1">
      <alignment horizontal="right"/>
    </xf>
    <xf numFmtId="9" fontId="0" fillId="0" borderId="0" xfId="2" applyFont="1"/>
    <xf numFmtId="165" fontId="0" fillId="0" borderId="0" xfId="1" applyNumberFormat="1" applyFont="1" applyFill="1"/>
    <xf numFmtId="0" fontId="13" fillId="0" borderId="0" xfId="0" applyFont="1"/>
    <xf numFmtId="0" fontId="14" fillId="0" borderId="0" xfId="0" applyFont="1"/>
    <xf numFmtId="0" fontId="18" fillId="0" borderId="0" xfId="0" applyFont="1"/>
    <xf numFmtId="0" fontId="0" fillId="0" borderId="0" xfId="0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0" fillId="0" borderId="0" xfId="0" applyFont="1"/>
    <xf numFmtId="0" fontId="12" fillId="0" borderId="0" xfId="0" applyFont="1"/>
    <xf numFmtId="165" fontId="12" fillId="0" borderId="0" xfId="1" applyNumberFormat="1" applyFont="1" applyFill="1"/>
    <xf numFmtId="0" fontId="0" fillId="0" borderId="5" xfId="0" applyBorder="1" applyAlignment="1">
      <alignment vertical="top"/>
    </xf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0" xfId="0" applyBorder="1" applyAlignment="1">
      <alignment vertical="top" wrapText="1"/>
    </xf>
    <xf numFmtId="165" fontId="0" fillId="0" borderId="10" xfId="1" applyNumberFormat="1" applyFont="1" applyBorder="1" applyAlignment="1">
      <alignment vertical="top"/>
    </xf>
    <xf numFmtId="10" fontId="0" fillId="0" borderId="10" xfId="2" applyNumberFormat="1" applyFont="1" applyBorder="1" applyAlignment="1">
      <alignment vertical="top"/>
    </xf>
    <xf numFmtId="10" fontId="0" fillId="0" borderId="11" xfId="2" applyNumberFormat="1" applyFont="1" applyBorder="1" applyAlignment="1">
      <alignment vertical="top"/>
    </xf>
    <xf numFmtId="9" fontId="0" fillId="0" borderId="10" xfId="0" applyNumberFormat="1" applyBorder="1" applyAlignment="1">
      <alignment horizontal="left" vertical="top"/>
    </xf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6" xfId="0" applyBorder="1" applyAlignment="1">
      <alignment vertical="top"/>
    </xf>
    <xf numFmtId="0" fontId="0" fillId="0" borderId="17" xfId="0" applyBorder="1" applyAlignment="1">
      <alignment vertical="top"/>
    </xf>
    <xf numFmtId="9" fontId="0" fillId="0" borderId="15" xfId="0" applyNumberFormat="1" applyBorder="1" applyAlignment="1">
      <alignment horizontal="left" vertical="top"/>
    </xf>
    <xf numFmtId="0" fontId="0" fillId="4" borderId="13" xfId="0" applyFill="1" applyBorder="1" applyAlignment="1">
      <alignment vertical="top"/>
    </xf>
    <xf numFmtId="0" fontId="0" fillId="4" borderId="14" xfId="0" applyFill="1" applyBorder="1" applyAlignment="1">
      <alignment vertical="top"/>
    </xf>
    <xf numFmtId="0" fontId="0" fillId="4" borderId="12" xfId="0" applyFill="1" applyBorder="1" applyAlignment="1">
      <alignment vertical="top"/>
    </xf>
    <xf numFmtId="0" fontId="0" fillId="0" borderId="2" xfId="0" applyBorder="1"/>
    <xf numFmtId="0" fontId="0" fillId="0" borderId="3" xfId="0" applyBorder="1"/>
    <xf numFmtId="165" fontId="0" fillId="0" borderId="3" xfId="1" applyNumberFormat="1" applyFont="1" applyFill="1" applyBorder="1"/>
    <xf numFmtId="165" fontId="10" fillId="0" borderId="3" xfId="1" applyNumberFormat="1" applyFont="1" applyFill="1" applyBorder="1"/>
    <xf numFmtId="0" fontId="0" fillId="0" borderId="4" xfId="0" applyBorder="1"/>
    <xf numFmtId="0" fontId="2" fillId="0" borderId="5" xfId="0" applyFont="1" applyBorder="1"/>
    <xf numFmtId="165" fontId="1" fillId="0" borderId="0" xfId="1" applyNumberFormat="1" applyFont="1" applyFill="1" applyBorder="1"/>
    <xf numFmtId="165" fontId="2" fillId="0" borderId="0" xfId="1" applyNumberFormat="1" applyFont="1" applyFill="1" applyBorder="1"/>
    <xf numFmtId="0" fontId="0" fillId="0" borderId="5" xfId="0" applyBorder="1" applyAlignment="1">
      <alignment horizontal="right"/>
    </xf>
    <xf numFmtId="165" fontId="0" fillId="0" borderId="0" xfId="1" applyNumberFormat="1" applyFont="1" applyFill="1" applyBorder="1"/>
    <xf numFmtId="165" fontId="10" fillId="0" borderId="0" xfId="1" applyNumberFormat="1" applyFont="1" applyFill="1" applyBorder="1"/>
    <xf numFmtId="0" fontId="0" fillId="0" borderId="7" xfId="0" applyBorder="1" applyAlignment="1">
      <alignment horizontal="right"/>
    </xf>
    <xf numFmtId="165" fontId="0" fillId="0" borderId="8" xfId="1" applyNumberFormat="1" applyFont="1" applyFill="1" applyBorder="1"/>
    <xf numFmtId="167" fontId="0" fillId="0" borderId="3" xfId="1" applyNumberFormat="1" applyFont="1" applyFill="1" applyBorder="1"/>
    <xf numFmtId="0" fontId="3" fillId="0" borderId="4" xfId="3" applyFill="1" applyBorder="1"/>
    <xf numFmtId="166" fontId="0" fillId="0" borderId="3" xfId="2" applyNumberFormat="1" applyFont="1" applyFill="1" applyBorder="1"/>
    <xf numFmtId="166" fontId="0" fillId="0" borderId="0" xfId="2" applyNumberFormat="1" applyFont="1" applyFill="1" applyBorder="1"/>
    <xf numFmtId="0" fontId="18" fillId="0" borderId="5" xfId="0" applyFont="1" applyBorder="1"/>
    <xf numFmtId="166" fontId="18" fillId="0" borderId="0" xfId="2" applyNumberFormat="1" applyFont="1" applyFill="1" applyBorder="1"/>
    <xf numFmtId="165" fontId="18" fillId="0" borderId="0" xfId="1" applyNumberFormat="1" applyFont="1" applyFill="1" applyBorder="1"/>
    <xf numFmtId="0" fontId="3" fillId="0" borderId="6" xfId="3" applyFill="1" applyBorder="1"/>
    <xf numFmtId="0" fontId="4" fillId="0" borderId="0" xfId="0" applyFont="1" applyAlignment="1">
      <alignment vertical="top"/>
    </xf>
    <xf numFmtId="164" fontId="0" fillId="0" borderId="0" xfId="1" applyFont="1" applyFill="1" applyBorder="1"/>
    <xf numFmtId="0" fontId="2" fillId="0" borderId="0" xfId="0" applyFont="1" applyAlignment="1">
      <alignment horizontal="left"/>
    </xf>
    <xf numFmtId="0" fontId="0" fillId="0" borderId="5" xfId="0" applyBorder="1" applyAlignment="1">
      <alignment horizontal="right" wrapText="1"/>
    </xf>
    <xf numFmtId="9" fontId="0" fillId="0" borderId="8" xfId="2" applyFont="1" applyFill="1" applyBorder="1"/>
    <xf numFmtId="164" fontId="0" fillId="0" borderId="10" xfId="1" applyFont="1" applyBorder="1" applyAlignment="1">
      <alignment vertical="top"/>
    </xf>
    <xf numFmtId="9" fontId="0" fillId="0" borderId="10" xfId="0" applyNumberFormat="1" applyBorder="1"/>
    <xf numFmtId="165" fontId="0" fillId="0" borderId="10" xfId="1" applyNumberFormat="1" applyFont="1" applyBorder="1"/>
    <xf numFmtId="164" fontId="0" fillId="0" borderId="10" xfId="1" applyFont="1" applyBorder="1" applyAlignment="1">
      <alignment horizontal="right" vertical="top"/>
    </xf>
    <xf numFmtId="165" fontId="0" fillId="0" borderId="10" xfId="1" applyNumberFormat="1" applyFont="1" applyBorder="1" applyAlignment="1">
      <alignment horizontal="right" vertical="top"/>
    </xf>
    <xf numFmtId="9" fontId="0" fillId="0" borderId="11" xfId="2" applyFont="1" applyBorder="1" applyAlignment="1">
      <alignment horizontal="right" vertical="top"/>
    </xf>
    <xf numFmtId="0" fontId="23" fillId="0" borderId="0" xfId="0" applyFont="1"/>
    <xf numFmtId="9" fontId="23" fillId="0" borderId="0" xfId="0" applyNumberFormat="1" applyFont="1"/>
    <xf numFmtId="0" fontId="8" fillId="0" borderId="0" xfId="0" applyFont="1"/>
    <xf numFmtId="0" fontId="16" fillId="0" borderId="15" xfId="0" applyFont="1" applyBorder="1" applyAlignment="1">
      <alignment vertical="top"/>
    </xf>
    <xf numFmtId="0" fontId="16" fillId="0" borderId="10" xfId="0" applyFont="1" applyBorder="1" applyAlignment="1">
      <alignment vertical="top" wrapText="1"/>
    </xf>
    <xf numFmtId="9" fontId="16" fillId="0" borderId="15" xfId="0" applyNumberFormat="1" applyFont="1" applyBorder="1" applyAlignment="1">
      <alignment horizontal="left" vertical="top"/>
    </xf>
    <xf numFmtId="0" fontId="0" fillId="4" borderId="18" xfId="0" applyFill="1" applyBorder="1" applyAlignment="1">
      <alignment vertical="top"/>
    </xf>
    <xf numFmtId="0" fontId="0" fillId="0" borderId="6" xfId="0" applyBorder="1" applyAlignment="1">
      <alignment vertical="top"/>
    </xf>
    <xf numFmtId="165" fontId="0" fillId="0" borderId="10" xfId="0" applyNumberFormat="1" applyBorder="1"/>
    <xf numFmtId="9" fontId="0" fillId="0" borderId="10" xfId="2" applyFont="1" applyFill="1" applyBorder="1"/>
    <xf numFmtId="166" fontId="0" fillId="0" borderId="10" xfId="2" applyNumberFormat="1" applyFont="1" applyFill="1" applyBorder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 wrapText="1"/>
    </xf>
    <xf numFmtId="165" fontId="0" fillId="0" borderId="6" xfId="1" applyNumberFormat="1" applyFont="1" applyBorder="1" applyAlignment="1">
      <alignment vertical="top"/>
    </xf>
    <xf numFmtId="10" fontId="0" fillId="0" borderId="6" xfId="2" applyNumberFormat="1" applyFont="1" applyBorder="1" applyAlignment="1">
      <alignment vertical="top"/>
    </xf>
    <xf numFmtId="10" fontId="0" fillId="0" borderId="10" xfId="2" applyNumberFormat="1" applyFont="1" applyBorder="1"/>
    <xf numFmtId="165" fontId="0" fillId="0" borderId="6" xfId="1" applyNumberFormat="1" applyFont="1" applyBorder="1"/>
    <xf numFmtId="2" fontId="0" fillId="0" borderId="0" xfId="0" applyNumberFormat="1"/>
    <xf numFmtId="166" fontId="0" fillId="0" borderId="0" xfId="2" applyNumberFormat="1" applyFont="1"/>
    <xf numFmtId="0" fontId="25" fillId="0" borderId="19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justify" vertical="center" wrapText="1"/>
    </xf>
    <xf numFmtId="0" fontId="25" fillId="0" borderId="11" xfId="0" applyFont="1" applyBorder="1" applyAlignment="1">
      <alignment horizontal="left" vertical="center" wrapText="1"/>
    </xf>
    <xf numFmtId="165" fontId="25" fillId="0" borderId="9" xfId="1" applyNumberFormat="1" applyFont="1" applyBorder="1" applyAlignment="1">
      <alignment horizontal="justify" vertical="center" wrapText="1"/>
    </xf>
    <xf numFmtId="9" fontId="25" fillId="0" borderId="9" xfId="0" applyNumberFormat="1" applyFont="1" applyBorder="1" applyAlignment="1">
      <alignment horizontal="right" vertical="center" wrapText="1"/>
    </xf>
    <xf numFmtId="165" fontId="25" fillId="0" borderId="9" xfId="0" applyNumberFormat="1" applyFont="1" applyBorder="1" applyAlignment="1">
      <alignment horizontal="justify" vertical="center" wrapText="1"/>
    </xf>
    <xf numFmtId="9" fontId="25" fillId="0" borderId="9" xfId="2" applyFont="1" applyBorder="1" applyAlignment="1">
      <alignment horizontal="right" vertical="center" wrapText="1"/>
    </xf>
    <xf numFmtId="165" fontId="0" fillId="0" borderId="10" xfId="2" applyNumberFormat="1" applyFont="1" applyBorder="1" applyAlignment="1">
      <alignment vertical="top"/>
    </xf>
    <xf numFmtId="0" fontId="4" fillId="0" borderId="8" xfId="0" applyFont="1" applyBorder="1" applyAlignment="1">
      <alignment vertical="top"/>
    </xf>
    <xf numFmtId="165" fontId="0" fillId="0" borderId="11" xfId="1" applyNumberFormat="1" applyFont="1" applyFill="1" applyBorder="1"/>
    <xf numFmtId="0" fontId="27" fillId="0" borderId="5" xfId="0" applyFont="1" applyBorder="1"/>
    <xf numFmtId="0" fontId="27" fillId="0" borderId="0" xfId="0" applyFont="1"/>
    <xf numFmtId="0" fontId="17" fillId="0" borderId="12" xfId="0" applyFont="1" applyBorder="1" applyAlignment="1">
      <alignment vertical="center"/>
    </xf>
    <xf numFmtId="9" fontId="0" fillId="0" borderId="0" xfId="2" applyFont="1" applyAlignment="1">
      <alignment horizontal="left"/>
    </xf>
    <xf numFmtId="9" fontId="18" fillId="0" borderId="0" xfId="2" applyFont="1" applyAlignment="1">
      <alignment horizontal="left"/>
    </xf>
    <xf numFmtId="166" fontId="0" fillId="0" borderId="10" xfId="2" applyNumberFormat="1" applyFont="1" applyBorder="1" applyAlignment="1">
      <alignment vertical="top"/>
    </xf>
    <xf numFmtId="167" fontId="0" fillId="0" borderId="0" xfId="1" applyNumberFormat="1" applyFont="1" applyBorder="1"/>
    <xf numFmtId="167" fontId="0" fillId="0" borderId="10" xfId="1" applyNumberFormat="1" applyFont="1" applyBorder="1"/>
    <xf numFmtId="164" fontId="0" fillId="0" borderId="10" xfId="1" applyFont="1" applyBorder="1"/>
    <xf numFmtId="167" fontId="0" fillId="0" borderId="6" xfId="1" applyNumberFormat="1" applyFont="1" applyBorder="1"/>
    <xf numFmtId="166" fontId="0" fillId="0" borderId="8" xfId="2" applyNumberFormat="1" applyFont="1" applyBorder="1"/>
    <xf numFmtId="166" fontId="0" fillId="0" borderId="9" xfId="2" applyNumberFormat="1" applyFont="1" applyBorder="1"/>
    <xf numFmtId="164" fontId="0" fillId="0" borderId="6" xfId="1" applyFont="1" applyBorder="1"/>
    <xf numFmtId="9" fontId="0" fillId="0" borderId="11" xfId="2" applyFont="1" applyBorder="1"/>
    <xf numFmtId="164" fontId="0" fillId="0" borderId="0" xfId="1" applyFont="1" applyBorder="1"/>
    <xf numFmtId="166" fontId="0" fillId="0" borderId="11" xfId="2" applyNumberFormat="1" applyFont="1" applyBorder="1"/>
    <xf numFmtId="0" fontId="0" fillId="4" borderId="3" xfId="0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165" fontId="0" fillId="0" borderId="0" xfId="1" applyNumberFormat="1" applyFont="1" applyBorder="1"/>
    <xf numFmtId="165" fontId="0" fillId="0" borderId="6" xfId="0" applyNumberFormat="1" applyBorder="1"/>
    <xf numFmtId="165" fontId="0" fillId="0" borderId="8" xfId="1" applyNumberFormat="1" applyFont="1" applyBorder="1"/>
    <xf numFmtId="165" fontId="0" fillId="0" borderId="8" xfId="0" applyNumberFormat="1" applyBorder="1"/>
    <xf numFmtId="165" fontId="0" fillId="0" borderId="9" xfId="0" applyNumberFormat="1" applyBorder="1"/>
    <xf numFmtId="166" fontId="0" fillId="0" borderId="10" xfId="0" applyNumberFormat="1" applyBorder="1"/>
    <xf numFmtId="10" fontId="0" fillId="0" borderId="10" xfId="0" applyNumberFormat="1" applyBorder="1"/>
    <xf numFmtId="165" fontId="0" fillId="0" borderId="10" xfId="1" applyNumberFormat="1" applyFont="1" applyFill="1" applyBorder="1"/>
    <xf numFmtId="165" fontId="27" fillId="0" borderId="10" xfId="1" applyNumberFormat="1" applyFont="1" applyFill="1" applyBorder="1"/>
    <xf numFmtId="166" fontId="0" fillId="0" borderId="11" xfId="2" applyNumberFormat="1" applyFont="1" applyFill="1" applyBorder="1"/>
    <xf numFmtId="0" fontId="0" fillId="0" borderId="21" xfId="0" applyBorder="1"/>
    <xf numFmtId="0" fontId="0" fillId="0" borderId="22" xfId="0" applyBorder="1" applyAlignment="1">
      <alignment vertical="top"/>
    </xf>
    <xf numFmtId="2" fontId="0" fillId="0" borderId="22" xfId="0" applyNumberFormat="1" applyBorder="1"/>
    <xf numFmtId="2" fontId="0" fillId="0" borderId="20" xfId="0" applyNumberFormat="1" applyBorder="1"/>
    <xf numFmtId="2" fontId="0" fillId="0" borderId="19" xfId="0" applyNumberFormat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9" fontId="0" fillId="0" borderId="0" xfId="2" applyFont="1" applyBorder="1"/>
    <xf numFmtId="168" fontId="2" fillId="0" borderId="0" xfId="0" applyNumberFormat="1" applyFont="1"/>
    <xf numFmtId="168" fontId="0" fillId="0" borderId="8" xfId="0" applyNumberFormat="1" applyBorder="1"/>
    <xf numFmtId="165" fontId="0" fillId="0" borderId="9" xfId="1" applyNumberFormat="1" applyFont="1" applyBorder="1"/>
    <xf numFmtId="166" fontId="0" fillId="0" borderId="0" xfId="2" applyNumberFormat="1" applyFont="1" applyBorder="1"/>
    <xf numFmtId="9" fontId="2" fillId="0" borderId="0" xfId="0" applyNumberFormat="1" applyFont="1"/>
    <xf numFmtId="165" fontId="0" fillId="0" borderId="6" xfId="1" applyNumberFormat="1" applyFont="1" applyFill="1" applyBorder="1"/>
    <xf numFmtId="165" fontId="0" fillId="0" borderId="9" xfId="1" applyNumberFormat="1" applyFont="1" applyFill="1" applyBorder="1"/>
    <xf numFmtId="0" fontId="31" fillId="0" borderId="0" xfId="0" applyFont="1" applyAlignment="1">
      <alignment horizontal="left"/>
    </xf>
    <xf numFmtId="164" fontId="1" fillId="0" borderId="0" xfId="1" applyFont="1" applyAlignment="1">
      <alignment horizontal="left"/>
    </xf>
    <xf numFmtId="0" fontId="0" fillId="0" borderId="23" xfId="0" applyBorder="1"/>
    <xf numFmtId="0" fontId="4" fillId="0" borderId="23" xfId="0" applyFont="1" applyBorder="1" applyAlignment="1">
      <alignment horizontal="center"/>
    </xf>
    <xf numFmtId="165" fontId="0" fillId="0" borderId="23" xfId="0" applyNumberFormat="1" applyBorder="1"/>
    <xf numFmtId="0" fontId="4" fillId="0" borderId="23" xfId="0" applyFont="1" applyBorder="1"/>
    <xf numFmtId="165" fontId="0" fillId="0" borderId="23" xfId="1" applyNumberFormat="1" applyFont="1" applyBorder="1" applyAlignment="1"/>
    <xf numFmtId="0" fontId="0" fillId="0" borderId="24" xfId="0" applyBorder="1"/>
    <xf numFmtId="0" fontId="0" fillId="0" borderId="25" xfId="0" applyBorder="1"/>
    <xf numFmtId="0" fontId="12" fillId="0" borderId="23" xfId="0" applyFont="1" applyBorder="1" applyAlignment="1">
      <alignment horizontal="right"/>
    </xf>
    <xf numFmtId="0" fontId="15" fillId="0" borderId="23" xfId="0" applyFont="1" applyBorder="1" applyAlignment="1">
      <alignment horizontal="center"/>
    </xf>
    <xf numFmtId="9" fontId="15" fillId="0" borderId="23" xfId="0" applyNumberFormat="1" applyFont="1" applyBorder="1" applyAlignment="1">
      <alignment horizontal="right"/>
    </xf>
    <xf numFmtId="1" fontId="15" fillId="0" borderId="23" xfId="0" applyNumberFormat="1" applyFont="1" applyBorder="1" applyAlignment="1">
      <alignment horizontal="right"/>
    </xf>
    <xf numFmtId="0" fontId="15" fillId="0" borderId="23" xfId="0" applyFont="1" applyBorder="1" applyAlignment="1">
      <alignment horizontal="right"/>
    </xf>
    <xf numFmtId="165" fontId="12" fillId="0" borderId="23" xfId="1" applyNumberFormat="1" applyFont="1" applyFill="1" applyBorder="1" applyAlignment="1">
      <alignment horizontal="right"/>
    </xf>
    <xf numFmtId="0" fontId="12" fillId="0" borderId="23" xfId="0" applyFont="1" applyBorder="1"/>
    <xf numFmtId="0" fontId="12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right"/>
    </xf>
    <xf numFmtId="165" fontId="0" fillId="0" borderId="23" xfId="0" applyNumberFormat="1" applyBorder="1" applyAlignment="1">
      <alignment horizontal="right"/>
    </xf>
    <xf numFmtId="0" fontId="0" fillId="0" borderId="23" xfId="0" applyBorder="1" applyAlignment="1">
      <alignment horizontal="right"/>
    </xf>
    <xf numFmtId="0" fontId="12" fillId="0" borderId="24" xfId="0" applyFont="1" applyBorder="1" applyAlignment="1">
      <alignment horizontal="right"/>
    </xf>
    <xf numFmtId="0" fontId="12" fillId="0" borderId="25" xfId="0" applyFont="1" applyBorder="1"/>
    <xf numFmtId="1" fontId="15" fillId="0" borderId="23" xfId="0" applyNumberFormat="1" applyFont="1" applyBorder="1"/>
    <xf numFmtId="9" fontId="15" fillId="0" borderId="23" xfId="0" applyNumberFormat="1" applyFont="1" applyBorder="1"/>
    <xf numFmtId="0" fontId="15" fillId="0" borderId="23" xfId="0" applyFont="1" applyBorder="1"/>
    <xf numFmtId="165" fontId="12" fillId="0" borderId="23" xfId="1" applyNumberFormat="1" applyFont="1" applyFill="1" applyBorder="1" applyAlignment="1"/>
    <xf numFmtId="0" fontId="7" fillId="0" borderId="27" xfId="0" applyFont="1" applyBorder="1" applyAlignment="1">
      <alignment horizontal="center"/>
    </xf>
    <xf numFmtId="0" fontId="7" fillId="0" borderId="27" xfId="0" applyFont="1" applyBorder="1"/>
    <xf numFmtId="165" fontId="2" fillId="0" borderId="27" xfId="0" applyNumberFormat="1" applyFont="1" applyBorder="1"/>
    <xf numFmtId="0" fontId="3" fillId="0" borderId="28" xfId="3" applyBorder="1"/>
    <xf numFmtId="0" fontId="24" fillId="0" borderId="25" xfId="0" applyFont="1" applyBorder="1"/>
    <xf numFmtId="0" fontId="1" fillId="0" borderId="25" xfId="3" applyFont="1" applyFill="1" applyBorder="1"/>
    <xf numFmtId="0" fontId="19" fillId="0" borderId="28" xfId="3" applyFont="1" applyBorder="1"/>
    <xf numFmtId="0" fontId="0" fillId="0" borderId="5" xfId="0" applyBorder="1" applyAlignment="1">
      <alignment horizontal="right" vertical="top"/>
    </xf>
    <xf numFmtId="0" fontId="0" fillId="0" borderId="16" xfId="0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4" borderId="13" xfId="0" applyFill="1" applyBorder="1" applyAlignment="1">
      <alignment horizontal="left" vertical="top"/>
    </xf>
    <xf numFmtId="0" fontId="0" fillId="4" borderId="14" xfId="0" applyFill="1" applyBorder="1" applyAlignment="1">
      <alignment horizontal="left" vertical="top"/>
    </xf>
    <xf numFmtId="0" fontId="0" fillId="4" borderId="18" xfId="0" applyFill="1" applyBorder="1" applyAlignment="1">
      <alignment horizontal="left" vertical="top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E9360"/>
      <color rgb="FFC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Scenario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Scenario 1</a:t>
          </a:r>
        </a:p>
      </cx:txPr>
    </cx:title>
    <cx:plotArea>
      <cx:plotAreaRegion>
        <cx:series layoutId="clusteredColumn" uniqueId="{A56F87DA-B8C9-4948-9FDB-A930DC1DC9D0}">
          <cx:dataId val="0"/>
          <cx:layoutPr>
            <cx:binning intervalClosed="r"/>
          </cx:layoutPr>
        </cx:series>
      </cx:plotAreaRegion>
      <cx:axis id="0" hidden="1">
        <cx:catScaling gapWidth="0"/>
        <cx:majorTickMarks type="out"/>
        <cx:tickLabels/>
      </cx:axis>
      <cx:axis id="1">
        <cx:valScaling/>
        <cx:majorTickMarks type="out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Scenario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Scenario 2</a:t>
          </a:r>
        </a:p>
      </cx:txPr>
    </cx:title>
    <cx:plotArea>
      <cx:plotAreaRegion>
        <cx:series layoutId="clusteredColumn" uniqueId="{CF8D4B6E-D02B-4194-BECE-C13491DC6D0F}">
          <cx:spPr>
            <a:solidFill>
              <a:schemeClr val="accent4"/>
            </a:solidFill>
          </cx:spPr>
          <cx:dataId val="0"/>
          <cx:layoutPr>
            <cx:binning intervalClosed="r"/>
          </cx:layoutPr>
        </cx:series>
      </cx:plotAreaRegion>
      <cx:axis id="0" hidden="1">
        <cx:catScaling gapWidth="0"/>
        <cx:majorTickMarks type="out"/>
        <cx:tickLabels/>
      </cx:axis>
      <cx:axis id="1">
        <cx:valScaling/>
        <cx:majorTickMarks type="out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Scenario 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Scenario 3</a:t>
          </a:r>
        </a:p>
      </cx:txPr>
    </cx:title>
    <cx:plotArea>
      <cx:plotAreaRegion>
        <cx:series layoutId="clusteredColumn" uniqueId="{427F2FE7-E970-4800-94CF-874BEA1957F2}">
          <cx:spPr>
            <a:solidFill>
              <a:schemeClr val="accent3"/>
            </a:solidFill>
          </cx:spPr>
          <cx:dataId val="0"/>
          <cx:layoutPr>
            <cx:binning intervalClosed="r"/>
          </cx:layoutPr>
        </cx:series>
      </cx:plotAreaRegion>
      <cx:axis id="0" hidden="1">
        <cx:catScaling gapWidth="0"/>
        <cx:majorTickMarks type="out"/>
        <cx:tickLabels/>
      </cx:axis>
      <cx:axis id="1">
        <cx:valScaling/>
        <cx:majorTickMarks type="out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Scenario 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Scenario 4</a:t>
          </a:r>
        </a:p>
      </cx:txPr>
    </cx:title>
    <cx:plotArea>
      <cx:plotAreaRegion>
        <cx:series layoutId="clusteredColumn" uniqueId="{95BECBCC-EB3B-4075-A42A-8AE9D11E945A}">
          <cx:spPr>
            <a:solidFill>
              <a:schemeClr val="accent6"/>
            </a:solidFill>
          </cx:spPr>
          <cx:dataId val="0"/>
          <cx:layoutPr>
            <cx:binning intervalClosed="r"/>
          </cx:layoutPr>
        </cx:series>
      </cx:plotAreaRegion>
      <cx:axis id="0" hidden="1">
        <cx:catScaling gapWidth="0"/>
        <cx:majorTickMarks type="out"/>
        <cx:tickLabels/>
      </cx:axis>
      <cx:axis id="1">
        <cx:valScaling/>
        <cx:majorTickMarks type="out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171450</xdr:rowOff>
    </xdr:from>
    <xdr:to>
      <xdr:col>13</xdr:col>
      <xdr:colOff>510540</xdr:colOff>
      <xdr:row>16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8176C56-3BBB-47B9-A4B4-1D064E14BF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95700" y="171450"/>
              <a:ext cx="4739640" cy="2773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19050</xdr:colOff>
      <xdr:row>0</xdr:row>
      <xdr:rowOff>171450</xdr:rowOff>
    </xdr:from>
    <xdr:to>
      <xdr:col>21</xdr:col>
      <xdr:colOff>491490</xdr:colOff>
      <xdr:row>16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B05864D-7C31-4739-9F32-88122B91FD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3450" y="171450"/>
              <a:ext cx="4739640" cy="2773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38100</xdr:colOff>
      <xdr:row>16</xdr:row>
      <xdr:rowOff>95250</xdr:rowOff>
    </xdr:from>
    <xdr:to>
      <xdr:col>13</xdr:col>
      <xdr:colOff>510540</xdr:colOff>
      <xdr:row>31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DAC0A64-934E-466B-920B-58E0908E5E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95700" y="3021330"/>
              <a:ext cx="4739640" cy="2771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19050</xdr:colOff>
      <xdr:row>16</xdr:row>
      <xdr:rowOff>81915</xdr:rowOff>
    </xdr:from>
    <xdr:to>
      <xdr:col>21</xdr:col>
      <xdr:colOff>495300</xdr:colOff>
      <xdr:row>31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F638795-DAB1-41CB-8ECD-59296FDADC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3450" y="3007995"/>
              <a:ext cx="4743450" cy="2785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447675</xdr:colOff>
      <xdr:row>4</xdr:row>
      <xdr:rowOff>152400</xdr:rowOff>
    </xdr:from>
    <xdr:to>
      <xdr:col>21</xdr:col>
      <xdr:colOff>361950</xdr:colOff>
      <xdr:row>15</xdr:row>
      <xdr:rowOff>69239</xdr:rowOff>
    </xdr:to>
    <xdr:sp macro="" textlink="">
      <xdr:nvSpPr>
        <xdr:cNvPr id="24" name="Freeform: Shape 23">
          <a:extLst>
            <a:ext uri="{FF2B5EF4-FFF2-40B4-BE49-F238E27FC236}">
              <a16:creationId xmlns:a16="http://schemas.microsoft.com/office/drawing/2014/main" id="{98C2DB19-AD16-CD5C-F0D4-A0F51BF01C70}"/>
            </a:ext>
          </a:extLst>
        </xdr:cNvPr>
        <xdr:cNvSpPr/>
      </xdr:nvSpPr>
      <xdr:spPr>
        <a:xfrm>
          <a:off x="8982075" y="876300"/>
          <a:ext cx="4181475" cy="1907564"/>
        </a:xfrm>
        <a:custGeom>
          <a:avLst/>
          <a:gdLst>
            <a:gd name="connsiteX0" fmla="*/ 0 w 4181475"/>
            <a:gd name="connsiteY0" fmla="*/ 1876425 h 1907564"/>
            <a:gd name="connsiteX1" fmla="*/ 190500 w 4181475"/>
            <a:gd name="connsiteY1" fmla="*/ 1857375 h 1907564"/>
            <a:gd name="connsiteX2" fmla="*/ 257175 w 4181475"/>
            <a:gd name="connsiteY2" fmla="*/ 1847850 h 1907564"/>
            <a:gd name="connsiteX3" fmla="*/ 390525 w 4181475"/>
            <a:gd name="connsiteY3" fmla="*/ 1857375 h 1907564"/>
            <a:gd name="connsiteX4" fmla="*/ 504825 w 4181475"/>
            <a:gd name="connsiteY4" fmla="*/ 1876425 h 1907564"/>
            <a:gd name="connsiteX5" fmla="*/ 828675 w 4181475"/>
            <a:gd name="connsiteY5" fmla="*/ 1857375 h 1907564"/>
            <a:gd name="connsiteX6" fmla="*/ 885825 w 4181475"/>
            <a:gd name="connsiteY6" fmla="*/ 1838325 h 1907564"/>
            <a:gd name="connsiteX7" fmla="*/ 904875 w 4181475"/>
            <a:gd name="connsiteY7" fmla="*/ 1809750 h 1907564"/>
            <a:gd name="connsiteX8" fmla="*/ 933450 w 4181475"/>
            <a:gd name="connsiteY8" fmla="*/ 1800225 h 1907564"/>
            <a:gd name="connsiteX9" fmla="*/ 1038225 w 4181475"/>
            <a:gd name="connsiteY9" fmla="*/ 1752600 h 1907564"/>
            <a:gd name="connsiteX10" fmla="*/ 1066800 w 4181475"/>
            <a:gd name="connsiteY10" fmla="*/ 1724025 h 1907564"/>
            <a:gd name="connsiteX11" fmla="*/ 1104900 w 4181475"/>
            <a:gd name="connsiteY11" fmla="*/ 1704975 h 1907564"/>
            <a:gd name="connsiteX12" fmla="*/ 1133475 w 4181475"/>
            <a:gd name="connsiteY12" fmla="*/ 1666875 h 1907564"/>
            <a:gd name="connsiteX13" fmla="*/ 1162050 w 4181475"/>
            <a:gd name="connsiteY13" fmla="*/ 1647825 h 1907564"/>
            <a:gd name="connsiteX14" fmla="*/ 1228725 w 4181475"/>
            <a:gd name="connsiteY14" fmla="*/ 1581150 h 1907564"/>
            <a:gd name="connsiteX15" fmla="*/ 1247775 w 4181475"/>
            <a:gd name="connsiteY15" fmla="*/ 1543050 h 1907564"/>
            <a:gd name="connsiteX16" fmla="*/ 1276350 w 4181475"/>
            <a:gd name="connsiteY16" fmla="*/ 1514475 h 1907564"/>
            <a:gd name="connsiteX17" fmla="*/ 1295400 w 4181475"/>
            <a:gd name="connsiteY17" fmla="*/ 1466850 h 1907564"/>
            <a:gd name="connsiteX18" fmla="*/ 1323975 w 4181475"/>
            <a:gd name="connsiteY18" fmla="*/ 1447800 h 1907564"/>
            <a:gd name="connsiteX19" fmla="*/ 1352550 w 4181475"/>
            <a:gd name="connsiteY19" fmla="*/ 1409700 h 1907564"/>
            <a:gd name="connsiteX20" fmla="*/ 1390650 w 4181475"/>
            <a:gd name="connsiteY20" fmla="*/ 1333500 h 1907564"/>
            <a:gd name="connsiteX21" fmla="*/ 1400175 w 4181475"/>
            <a:gd name="connsiteY21" fmla="*/ 1295400 h 1907564"/>
            <a:gd name="connsiteX22" fmla="*/ 1419225 w 4181475"/>
            <a:gd name="connsiteY22" fmla="*/ 1257300 h 1907564"/>
            <a:gd name="connsiteX23" fmla="*/ 1447800 w 4181475"/>
            <a:gd name="connsiteY23" fmla="*/ 1123950 h 1907564"/>
            <a:gd name="connsiteX24" fmla="*/ 1457325 w 4181475"/>
            <a:gd name="connsiteY24" fmla="*/ 1095375 h 1907564"/>
            <a:gd name="connsiteX25" fmla="*/ 1485900 w 4181475"/>
            <a:gd name="connsiteY25" fmla="*/ 1028700 h 1907564"/>
            <a:gd name="connsiteX26" fmla="*/ 1495425 w 4181475"/>
            <a:gd name="connsiteY26" fmla="*/ 981075 h 1907564"/>
            <a:gd name="connsiteX27" fmla="*/ 1514475 w 4181475"/>
            <a:gd name="connsiteY27" fmla="*/ 952500 h 1907564"/>
            <a:gd name="connsiteX28" fmla="*/ 1533525 w 4181475"/>
            <a:gd name="connsiteY28" fmla="*/ 914400 h 1907564"/>
            <a:gd name="connsiteX29" fmla="*/ 1543050 w 4181475"/>
            <a:gd name="connsiteY29" fmla="*/ 885825 h 1907564"/>
            <a:gd name="connsiteX30" fmla="*/ 1552575 w 4181475"/>
            <a:gd name="connsiteY30" fmla="*/ 847725 h 1907564"/>
            <a:gd name="connsiteX31" fmla="*/ 1590675 w 4181475"/>
            <a:gd name="connsiteY31" fmla="*/ 790575 h 1907564"/>
            <a:gd name="connsiteX32" fmla="*/ 1638300 w 4181475"/>
            <a:gd name="connsiteY32" fmla="*/ 714375 h 1907564"/>
            <a:gd name="connsiteX33" fmla="*/ 1666875 w 4181475"/>
            <a:gd name="connsiteY33" fmla="*/ 628650 h 1907564"/>
            <a:gd name="connsiteX34" fmla="*/ 1685925 w 4181475"/>
            <a:gd name="connsiteY34" fmla="*/ 571500 h 1907564"/>
            <a:gd name="connsiteX35" fmla="*/ 1724025 w 4181475"/>
            <a:gd name="connsiteY35" fmla="*/ 495300 h 1907564"/>
            <a:gd name="connsiteX36" fmla="*/ 1752600 w 4181475"/>
            <a:gd name="connsiteY36" fmla="*/ 409575 h 1907564"/>
            <a:gd name="connsiteX37" fmla="*/ 1762125 w 4181475"/>
            <a:gd name="connsiteY37" fmla="*/ 381000 h 1907564"/>
            <a:gd name="connsiteX38" fmla="*/ 1800225 w 4181475"/>
            <a:gd name="connsiteY38" fmla="*/ 257175 h 1907564"/>
            <a:gd name="connsiteX39" fmla="*/ 1809750 w 4181475"/>
            <a:gd name="connsiteY39" fmla="*/ 228600 h 1907564"/>
            <a:gd name="connsiteX40" fmla="*/ 1828800 w 4181475"/>
            <a:gd name="connsiteY40" fmla="*/ 200025 h 1907564"/>
            <a:gd name="connsiteX41" fmla="*/ 1847850 w 4181475"/>
            <a:gd name="connsiteY41" fmla="*/ 161925 h 1907564"/>
            <a:gd name="connsiteX42" fmla="*/ 1905000 w 4181475"/>
            <a:gd name="connsiteY42" fmla="*/ 95250 h 1907564"/>
            <a:gd name="connsiteX43" fmla="*/ 1943100 w 4181475"/>
            <a:gd name="connsiteY43" fmla="*/ 76200 h 1907564"/>
            <a:gd name="connsiteX44" fmla="*/ 1952625 w 4181475"/>
            <a:gd name="connsiteY44" fmla="*/ 47625 h 1907564"/>
            <a:gd name="connsiteX45" fmla="*/ 1990725 w 4181475"/>
            <a:gd name="connsiteY45" fmla="*/ 38100 h 1907564"/>
            <a:gd name="connsiteX46" fmla="*/ 2057400 w 4181475"/>
            <a:gd name="connsiteY46" fmla="*/ 0 h 1907564"/>
            <a:gd name="connsiteX47" fmla="*/ 2171700 w 4181475"/>
            <a:gd name="connsiteY47" fmla="*/ 28575 h 1907564"/>
            <a:gd name="connsiteX48" fmla="*/ 2228850 w 4181475"/>
            <a:gd name="connsiteY48" fmla="*/ 66675 h 1907564"/>
            <a:gd name="connsiteX49" fmla="*/ 2247900 w 4181475"/>
            <a:gd name="connsiteY49" fmla="*/ 95250 h 1907564"/>
            <a:gd name="connsiteX50" fmla="*/ 2324100 w 4181475"/>
            <a:gd name="connsiteY50" fmla="*/ 123825 h 1907564"/>
            <a:gd name="connsiteX51" fmla="*/ 2362200 w 4181475"/>
            <a:gd name="connsiteY51" fmla="*/ 104775 h 1907564"/>
            <a:gd name="connsiteX52" fmla="*/ 2419350 w 4181475"/>
            <a:gd name="connsiteY52" fmla="*/ 66675 h 1907564"/>
            <a:gd name="connsiteX53" fmla="*/ 2457450 w 4181475"/>
            <a:gd name="connsiteY53" fmla="*/ 76200 h 1907564"/>
            <a:gd name="connsiteX54" fmla="*/ 2466975 w 4181475"/>
            <a:gd name="connsiteY54" fmla="*/ 114300 h 1907564"/>
            <a:gd name="connsiteX55" fmla="*/ 2495550 w 4181475"/>
            <a:gd name="connsiteY55" fmla="*/ 200025 h 1907564"/>
            <a:gd name="connsiteX56" fmla="*/ 2505075 w 4181475"/>
            <a:gd name="connsiteY56" fmla="*/ 228600 h 1907564"/>
            <a:gd name="connsiteX57" fmla="*/ 2524125 w 4181475"/>
            <a:gd name="connsiteY57" fmla="*/ 295275 h 1907564"/>
            <a:gd name="connsiteX58" fmla="*/ 2533650 w 4181475"/>
            <a:gd name="connsiteY58" fmla="*/ 333375 h 1907564"/>
            <a:gd name="connsiteX59" fmla="*/ 2571750 w 4181475"/>
            <a:gd name="connsiteY59" fmla="*/ 428625 h 1907564"/>
            <a:gd name="connsiteX60" fmla="*/ 2590800 w 4181475"/>
            <a:gd name="connsiteY60" fmla="*/ 485775 h 1907564"/>
            <a:gd name="connsiteX61" fmla="*/ 2647950 w 4181475"/>
            <a:gd name="connsiteY61" fmla="*/ 542925 h 1907564"/>
            <a:gd name="connsiteX62" fmla="*/ 2676525 w 4181475"/>
            <a:gd name="connsiteY62" fmla="*/ 600075 h 1907564"/>
            <a:gd name="connsiteX63" fmla="*/ 2714625 w 4181475"/>
            <a:gd name="connsiteY63" fmla="*/ 619125 h 1907564"/>
            <a:gd name="connsiteX64" fmla="*/ 2743200 w 4181475"/>
            <a:gd name="connsiteY64" fmla="*/ 638175 h 1907564"/>
            <a:gd name="connsiteX65" fmla="*/ 2771775 w 4181475"/>
            <a:gd name="connsiteY65" fmla="*/ 666750 h 1907564"/>
            <a:gd name="connsiteX66" fmla="*/ 2819400 w 4181475"/>
            <a:gd name="connsiteY66" fmla="*/ 676275 h 1907564"/>
            <a:gd name="connsiteX67" fmla="*/ 2847975 w 4181475"/>
            <a:gd name="connsiteY67" fmla="*/ 685800 h 1907564"/>
            <a:gd name="connsiteX68" fmla="*/ 2876550 w 4181475"/>
            <a:gd name="connsiteY68" fmla="*/ 752475 h 1907564"/>
            <a:gd name="connsiteX69" fmla="*/ 2914650 w 4181475"/>
            <a:gd name="connsiteY69" fmla="*/ 819150 h 1907564"/>
            <a:gd name="connsiteX70" fmla="*/ 2933700 w 4181475"/>
            <a:gd name="connsiteY70" fmla="*/ 904875 h 1907564"/>
            <a:gd name="connsiteX71" fmla="*/ 2952750 w 4181475"/>
            <a:gd name="connsiteY71" fmla="*/ 962025 h 1907564"/>
            <a:gd name="connsiteX72" fmla="*/ 2962275 w 4181475"/>
            <a:gd name="connsiteY72" fmla="*/ 990600 h 1907564"/>
            <a:gd name="connsiteX73" fmla="*/ 2981325 w 4181475"/>
            <a:gd name="connsiteY73" fmla="*/ 1019175 h 1907564"/>
            <a:gd name="connsiteX74" fmla="*/ 3000375 w 4181475"/>
            <a:gd name="connsiteY74" fmla="*/ 1104900 h 1907564"/>
            <a:gd name="connsiteX75" fmla="*/ 3019425 w 4181475"/>
            <a:gd name="connsiteY75" fmla="*/ 1133475 h 1907564"/>
            <a:gd name="connsiteX76" fmla="*/ 3028950 w 4181475"/>
            <a:gd name="connsiteY76" fmla="*/ 1162050 h 1907564"/>
            <a:gd name="connsiteX77" fmla="*/ 3057525 w 4181475"/>
            <a:gd name="connsiteY77" fmla="*/ 1190625 h 1907564"/>
            <a:gd name="connsiteX78" fmla="*/ 3114675 w 4181475"/>
            <a:gd name="connsiteY78" fmla="*/ 1295400 h 1907564"/>
            <a:gd name="connsiteX79" fmla="*/ 3114675 w 4181475"/>
            <a:gd name="connsiteY79" fmla="*/ 1295400 h 1907564"/>
            <a:gd name="connsiteX80" fmla="*/ 3133725 w 4181475"/>
            <a:gd name="connsiteY80" fmla="*/ 1333500 h 1907564"/>
            <a:gd name="connsiteX81" fmla="*/ 3171825 w 4181475"/>
            <a:gd name="connsiteY81" fmla="*/ 1409700 h 1907564"/>
            <a:gd name="connsiteX82" fmla="*/ 3200400 w 4181475"/>
            <a:gd name="connsiteY82" fmla="*/ 1438275 h 1907564"/>
            <a:gd name="connsiteX83" fmla="*/ 3267075 w 4181475"/>
            <a:gd name="connsiteY83" fmla="*/ 1543050 h 1907564"/>
            <a:gd name="connsiteX84" fmla="*/ 3295650 w 4181475"/>
            <a:gd name="connsiteY84" fmla="*/ 1552575 h 1907564"/>
            <a:gd name="connsiteX85" fmla="*/ 3362325 w 4181475"/>
            <a:gd name="connsiteY85" fmla="*/ 1600200 h 1907564"/>
            <a:gd name="connsiteX86" fmla="*/ 3419475 w 4181475"/>
            <a:gd name="connsiteY86" fmla="*/ 1609725 h 1907564"/>
            <a:gd name="connsiteX87" fmla="*/ 3457575 w 4181475"/>
            <a:gd name="connsiteY87" fmla="*/ 1628775 h 1907564"/>
            <a:gd name="connsiteX88" fmla="*/ 3562350 w 4181475"/>
            <a:gd name="connsiteY88" fmla="*/ 1704975 h 1907564"/>
            <a:gd name="connsiteX89" fmla="*/ 3590925 w 4181475"/>
            <a:gd name="connsiteY89" fmla="*/ 1724025 h 1907564"/>
            <a:gd name="connsiteX90" fmla="*/ 3657600 w 4181475"/>
            <a:gd name="connsiteY90" fmla="*/ 1752600 h 1907564"/>
            <a:gd name="connsiteX91" fmla="*/ 3695700 w 4181475"/>
            <a:gd name="connsiteY91" fmla="*/ 1771650 h 1907564"/>
            <a:gd name="connsiteX92" fmla="*/ 3724275 w 4181475"/>
            <a:gd name="connsiteY92" fmla="*/ 1781175 h 1907564"/>
            <a:gd name="connsiteX93" fmla="*/ 3762375 w 4181475"/>
            <a:gd name="connsiteY93" fmla="*/ 1800225 h 1907564"/>
            <a:gd name="connsiteX94" fmla="*/ 3810000 w 4181475"/>
            <a:gd name="connsiteY94" fmla="*/ 1819275 h 1907564"/>
            <a:gd name="connsiteX95" fmla="*/ 3924300 w 4181475"/>
            <a:gd name="connsiteY95" fmla="*/ 1866900 h 1907564"/>
            <a:gd name="connsiteX96" fmla="*/ 4019550 w 4181475"/>
            <a:gd name="connsiteY96" fmla="*/ 1895475 h 1907564"/>
            <a:gd name="connsiteX97" fmla="*/ 4181475 w 4181475"/>
            <a:gd name="connsiteY97" fmla="*/ 1905000 h 19075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</a:cxnLst>
          <a:rect l="l" t="t" r="r" b="b"/>
          <a:pathLst>
            <a:path w="4181475" h="1907564">
              <a:moveTo>
                <a:pt x="0" y="1876425"/>
              </a:moveTo>
              <a:cubicBezTo>
                <a:pt x="106415" y="1855142"/>
                <a:pt x="-3868" y="1875045"/>
                <a:pt x="190500" y="1857375"/>
              </a:cubicBezTo>
              <a:cubicBezTo>
                <a:pt x="212858" y="1855342"/>
                <a:pt x="234950" y="1851025"/>
                <a:pt x="257175" y="1847850"/>
              </a:cubicBezTo>
              <a:cubicBezTo>
                <a:pt x="301625" y="1851025"/>
                <a:pt x="346162" y="1853150"/>
                <a:pt x="390525" y="1857375"/>
              </a:cubicBezTo>
              <a:cubicBezTo>
                <a:pt x="435635" y="1861671"/>
                <a:pt x="462293" y="1867919"/>
                <a:pt x="504825" y="1876425"/>
              </a:cubicBezTo>
              <a:cubicBezTo>
                <a:pt x="612775" y="1870075"/>
                <a:pt x="721075" y="1868135"/>
                <a:pt x="828675" y="1857375"/>
              </a:cubicBezTo>
              <a:cubicBezTo>
                <a:pt x="848656" y="1855377"/>
                <a:pt x="885825" y="1838325"/>
                <a:pt x="885825" y="1838325"/>
              </a:cubicBezTo>
              <a:cubicBezTo>
                <a:pt x="892175" y="1828800"/>
                <a:pt x="895936" y="1816901"/>
                <a:pt x="904875" y="1809750"/>
              </a:cubicBezTo>
              <a:cubicBezTo>
                <a:pt x="912715" y="1803478"/>
                <a:pt x="924310" y="1804380"/>
                <a:pt x="933450" y="1800225"/>
              </a:cubicBezTo>
              <a:cubicBezTo>
                <a:pt x="1050573" y="1746987"/>
                <a:pt x="971416" y="1774870"/>
                <a:pt x="1038225" y="1752600"/>
              </a:cubicBezTo>
              <a:cubicBezTo>
                <a:pt x="1047750" y="1743075"/>
                <a:pt x="1055839" y="1731855"/>
                <a:pt x="1066800" y="1724025"/>
              </a:cubicBezTo>
              <a:cubicBezTo>
                <a:pt x="1078354" y="1715772"/>
                <a:pt x="1094119" y="1714216"/>
                <a:pt x="1104900" y="1704975"/>
              </a:cubicBezTo>
              <a:cubicBezTo>
                <a:pt x="1116953" y="1694644"/>
                <a:pt x="1122250" y="1678100"/>
                <a:pt x="1133475" y="1666875"/>
              </a:cubicBezTo>
              <a:cubicBezTo>
                <a:pt x="1141570" y="1658780"/>
                <a:pt x="1153955" y="1655920"/>
                <a:pt x="1162050" y="1647825"/>
              </a:cubicBezTo>
              <a:cubicBezTo>
                <a:pt x="1250950" y="1558925"/>
                <a:pt x="1127125" y="1657350"/>
                <a:pt x="1228725" y="1581150"/>
              </a:cubicBezTo>
              <a:cubicBezTo>
                <a:pt x="1235075" y="1568450"/>
                <a:pt x="1239522" y="1554604"/>
                <a:pt x="1247775" y="1543050"/>
              </a:cubicBezTo>
              <a:cubicBezTo>
                <a:pt x="1255605" y="1532089"/>
                <a:pt x="1269211" y="1525898"/>
                <a:pt x="1276350" y="1514475"/>
              </a:cubicBezTo>
              <a:cubicBezTo>
                <a:pt x="1285412" y="1499976"/>
                <a:pt x="1285462" y="1480763"/>
                <a:pt x="1295400" y="1466850"/>
              </a:cubicBezTo>
              <a:cubicBezTo>
                <a:pt x="1302054" y="1457535"/>
                <a:pt x="1315880" y="1455895"/>
                <a:pt x="1323975" y="1447800"/>
              </a:cubicBezTo>
              <a:cubicBezTo>
                <a:pt x="1335200" y="1436575"/>
                <a:pt x="1343025" y="1422400"/>
                <a:pt x="1352550" y="1409700"/>
              </a:cubicBezTo>
              <a:cubicBezTo>
                <a:pt x="1375939" y="1316145"/>
                <a:pt x="1342077" y="1430645"/>
                <a:pt x="1390650" y="1333500"/>
              </a:cubicBezTo>
              <a:cubicBezTo>
                <a:pt x="1396504" y="1321791"/>
                <a:pt x="1395578" y="1307657"/>
                <a:pt x="1400175" y="1295400"/>
              </a:cubicBezTo>
              <a:cubicBezTo>
                <a:pt x="1405161" y="1282105"/>
                <a:pt x="1412875" y="1270000"/>
                <a:pt x="1419225" y="1257300"/>
              </a:cubicBezTo>
              <a:cubicBezTo>
                <a:pt x="1426515" y="1220851"/>
                <a:pt x="1436215" y="1164499"/>
                <a:pt x="1447800" y="1123950"/>
              </a:cubicBezTo>
              <a:cubicBezTo>
                <a:pt x="1450558" y="1114296"/>
                <a:pt x="1453370" y="1104603"/>
                <a:pt x="1457325" y="1095375"/>
              </a:cubicBezTo>
              <a:cubicBezTo>
                <a:pt x="1473681" y="1057211"/>
                <a:pt x="1476965" y="1064441"/>
                <a:pt x="1485900" y="1028700"/>
              </a:cubicBezTo>
              <a:cubicBezTo>
                <a:pt x="1489827" y="1012994"/>
                <a:pt x="1489741" y="996234"/>
                <a:pt x="1495425" y="981075"/>
              </a:cubicBezTo>
              <a:cubicBezTo>
                <a:pt x="1499445" y="970356"/>
                <a:pt x="1508795" y="962439"/>
                <a:pt x="1514475" y="952500"/>
              </a:cubicBezTo>
              <a:cubicBezTo>
                <a:pt x="1521520" y="940172"/>
                <a:pt x="1527932" y="927451"/>
                <a:pt x="1533525" y="914400"/>
              </a:cubicBezTo>
              <a:cubicBezTo>
                <a:pt x="1537480" y="905172"/>
                <a:pt x="1540292" y="895479"/>
                <a:pt x="1543050" y="885825"/>
              </a:cubicBezTo>
              <a:cubicBezTo>
                <a:pt x="1546646" y="873238"/>
                <a:pt x="1546721" y="859434"/>
                <a:pt x="1552575" y="847725"/>
              </a:cubicBezTo>
              <a:cubicBezTo>
                <a:pt x="1562814" y="827247"/>
                <a:pt x="1582172" y="811833"/>
                <a:pt x="1590675" y="790575"/>
              </a:cubicBezTo>
              <a:cubicBezTo>
                <a:pt x="1614728" y="730443"/>
                <a:pt x="1597635" y="755040"/>
                <a:pt x="1638300" y="714375"/>
              </a:cubicBezTo>
              <a:cubicBezTo>
                <a:pt x="1655633" y="645041"/>
                <a:pt x="1638181" y="707559"/>
                <a:pt x="1666875" y="628650"/>
              </a:cubicBezTo>
              <a:cubicBezTo>
                <a:pt x="1673737" y="609779"/>
                <a:pt x="1678015" y="589957"/>
                <a:pt x="1685925" y="571500"/>
              </a:cubicBezTo>
              <a:cubicBezTo>
                <a:pt x="1697112" y="545398"/>
                <a:pt x="1715045" y="522241"/>
                <a:pt x="1724025" y="495300"/>
              </a:cubicBezTo>
              <a:lnTo>
                <a:pt x="1752600" y="409575"/>
              </a:lnTo>
              <a:cubicBezTo>
                <a:pt x="1755775" y="400050"/>
                <a:pt x="1759690" y="390740"/>
                <a:pt x="1762125" y="381000"/>
              </a:cubicBezTo>
              <a:cubicBezTo>
                <a:pt x="1790829" y="266182"/>
                <a:pt x="1767855" y="343496"/>
                <a:pt x="1800225" y="257175"/>
              </a:cubicBezTo>
              <a:cubicBezTo>
                <a:pt x="1803750" y="247774"/>
                <a:pt x="1805260" y="237580"/>
                <a:pt x="1809750" y="228600"/>
              </a:cubicBezTo>
              <a:cubicBezTo>
                <a:pt x="1814870" y="218361"/>
                <a:pt x="1823120" y="209964"/>
                <a:pt x="1828800" y="200025"/>
              </a:cubicBezTo>
              <a:cubicBezTo>
                <a:pt x="1835845" y="187697"/>
                <a:pt x="1840325" y="173966"/>
                <a:pt x="1847850" y="161925"/>
              </a:cubicBezTo>
              <a:cubicBezTo>
                <a:pt x="1858340" y="145141"/>
                <a:pt x="1887403" y="107819"/>
                <a:pt x="1905000" y="95250"/>
              </a:cubicBezTo>
              <a:cubicBezTo>
                <a:pt x="1916554" y="86997"/>
                <a:pt x="1930400" y="82550"/>
                <a:pt x="1943100" y="76200"/>
              </a:cubicBezTo>
              <a:cubicBezTo>
                <a:pt x="1946275" y="66675"/>
                <a:pt x="1944785" y="53897"/>
                <a:pt x="1952625" y="47625"/>
              </a:cubicBezTo>
              <a:cubicBezTo>
                <a:pt x="1962847" y="39447"/>
                <a:pt x="1978468" y="42697"/>
                <a:pt x="1990725" y="38100"/>
              </a:cubicBezTo>
              <a:cubicBezTo>
                <a:pt x="2018347" y="27742"/>
                <a:pt x="2033713" y="15791"/>
                <a:pt x="2057400" y="0"/>
              </a:cubicBezTo>
              <a:cubicBezTo>
                <a:pt x="2098064" y="6777"/>
                <a:pt x="2133964" y="9707"/>
                <a:pt x="2171700" y="28575"/>
              </a:cubicBezTo>
              <a:cubicBezTo>
                <a:pt x="2192178" y="38814"/>
                <a:pt x="2209800" y="53975"/>
                <a:pt x="2228850" y="66675"/>
              </a:cubicBezTo>
              <a:cubicBezTo>
                <a:pt x="2235200" y="76200"/>
                <a:pt x="2239106" y="87921"/>
                <a:pt x="2247900" y="95250"/>
              </a:cubicBezTo>
              <a:cubicBezTo>
                <a:pt x="2269247" y="113039"/>
                <a:pt x="2298466" y="117416"/>
                <a:pt x="2324100" y="123825"/>
              </a:cubicBezTo>
              <a:cubicBezTo>
                <a:pt x="2336800" y="117475"/>
                <a:pt x="2350024" y="112080"/>
                <a:pt x="2362200" y="104775"/>
              </a:cubicBezTo>
              <a:cubicBezTo>
                <a:pt x="2381833" y="92995"/>
                <a:pt x="2419350" y="66675"/>
                <a:pt x="2419350" y="66675"/>
              </a:cubicBezTo>
              <a:cubicBezTo>
                <a:pt x="2432050" y="69850"/>
                <a:pt x="2448193" y="66943"/>
                <a:pt x="2457450" y="76200"/>
              </a:cubicBezTo>
              <a:cubicBezTo>
                <a:pt x="2466707" y="85457"/>
                <a:pt x="2463125" y="101788"/>
                <a:pt x="2466975" y="114300"/>
              </a:cubicBezTo>
              <a:cubicBezTo>
                <a:pt x="2475833" y="143089"/>
                <a:pt x="2486025" y="171450"/>
                <a:pt x="2495550" y="200025"/>
              </a:cubicBezTo>
              <a:cubicBezTo>
                <a:pt x="2498725" y="209550"/>
                <a:pt x="2502317" y="218946"/>
                <a:pt x="2505075" y="228600"/>
              </a:cubicBezTo>
              <a:cubicBezTo>
                <a:pt x="2511425" y="250825"/>
                <a:pt x="2518043" y="272975"/>
                <a:pt x="2524125" y="295275"/>
              </a:cubicBezTo>
              <a:cubicBezTo>
                <a:pt x="2527569" y="307905"/>
                <a:pt x="2529247" y="321047"/>
                <a:pt x="2533650" y="333375"/>
              </a:cubicBezTo>
              <a:cubicBezTo>
                <a:pt x="2545151" y="365579"/>
                <a:pt x="2560936" y="396184"/>
                <a:pt x="2571750" y="428625"/>
              </a:cubicBezTo>
              <a:cubicBezTo>
                <a:pt x="2578100" y="447675"/>
                <a:pt x="2576601" y="471576"/>
                <a:pt x="2590800" y="485775"/>
              </a:cubicBezTo>
              <a:lnTo>
                <a:pt x="2647950" y="542925"/>
              </a:lnTo>
              <a:cubicBezTo>
                <a:pt x="2654451" y="562429"/>
                <a:pt x="2659481" y="585872"/>
                <a:pt x="2676525" y="600075"/>
              </a:cubicBezTo>
              <a:cubicBezTo>
                <a:pt x="2687433" y="609165"/>
                <a:pt x="2702297" y="612080"/>
                <a:pt x="2714625" y="619125"/>
              </a:cubicBezTo>
              <a:cubicBezTo>
                <a:pt x="2724564" y="624805"/>
                <a:pt x="2734406" y="630846"/>
                <a:pt x="2743200" y="638175"/>
              </a:cubicBezTo>
              <a:cubicBezTo>
                <a:pt x="2753548" y="646799"/>
                <a:pt x="2759727" y="660726"/>
                <a:pt x="2771775" y="666750"/>
              </a:cubicBezTo>
              <a:cubicBezTo>
                <a:pt x="2786255" y="673990"/>
                <a:pt x="2803694" y="672348"/>
                <a:pt x="2819400" y="676275"/>
              </a:cubicBezTo>
              <a:cubicBezTo>
                <a:pt x="2829140" y="678710"/>
                <a:pt x="2838450" y="682625"/>
                <a:pt x="2847975" y="685800"/>
              </a:cubicBezTo>
              <a:cubicBezTo>
                <a:pt x="2867799" y="765094"/>
                <a:pt x="2843661" y="686696"/>
                <a:pt x="2876550" y="752475"/>
              </a:cubicBezTo>
              <a:cubicBezTo>
                <a:pt x="2912913" y="825201"/>
                <a:pt x="2845554" y="727022"/>
                <a:pt x="2914650" y="819150"/>
              </a:cubicBezTo>
              <a:cubicBezTo>
                <a:pt x="2941902" y="900906"/>
                <a:pt x="2900173" y="770768"/>
                <a:pt x="2933700" y="904875"/>
              </a:cubicBezTo>
              <a:cubicBezTo>
                <a:pt x="2938570" y="924356"/>
                <a:pt x="2946400" y="942975"/>
                <a:pt x="2952750" y="962025"/>
              </a:cubicBezTo>
              <a:cubicBezTo>
                <a:pt x="2955925" y="971550"/>
                <a:pt x="2956706" y="982246"/>
                <a:pt x="2962275" y="990600"/>
              </a:cubicBezTo>
              <a:lnTo>
                <a:pt x="2981325" y="1019175"/>
              </a:lnTo>
              <a:cubicBezTo>
                <a:pt x="2983020" y="1027651"/>
                <a:pt x="2995331" y="1093130"/>
                <a:pt x="3000375" y="1104900"/>
              </a:cubicBezTo>
              <a:cubicBezTo>
                <a:pt x="3004884" y="1115422"/>
                <a:pt x="3014305" y="1123236"/>
                <a:pt x="3019425" y="1133475"/>
              </a:cubicBezTo>
              <a:cubicBezTo>
                <a:pt x="3023915" y="1142455"/>
                <a:pt x="3023381" y="1153696"/>
                <a:pt x="3028950" y="1162050"/>
              </a:cubicBezTo>
              <a:cubicBezTo>
                <a:pt x="3036422" y="1173258"/>
                <a:pt x="3048000" y="1181100"/>
                <a:pt x="3057525" y="1190625"/>
              </a:cubicBezTo>
              <a:cubicBezTo>
                <a:pt x="3085078" y="1259508"/>
                <a:pt x="3067091" y="1224024"/>
                <a:pt x="3114675" y="1295400"/>
              </a:cubicBezTo>
              <a:lnTo>
                <a:pt x="3114675" y="1295400"/>
              </a:lnTo>
              <a:cubicBezTo>
                <a:pt x="3121025" y="1308100"/>
                <a:pt x="3128132" y="1320449"/>
                <a:pt x="3133725" y="1333500"/>
              </a:cubicBezTo>
              <a:cubicBezTo>
                <a:pt x="3153258" y="1379077"/>
                <a:pt x="3130426" y="1354501"/>
                <a:pt x="3171825" y="1409700"/>
              </a:cubicBezTo>
              <a:cubicBezTo>
                <a:pt x="3179907" y="1420476"/>
                <a:pt x="3190875" y="1428750"/>
                <a:pt x="3200400" y="1438275"/>
              </a:cubicBezTo>
              <a:cubicBezTo>
                <a:pt x="3212474" y="1474496"/>
                <a:pt x="3227591" y="1529889"/>
                <a:pt x="3267075" y="1543050"/>
              </a:cubicBezTo>
              <a:lnTo>
                <a:pt x="3295650" y="1552575"/>
              </a:lnTo>
              <a:cubicBezTo>
                <a:pt x="3317875" y="1568450"/>
                <a:pt x="3337526" y="1588755"/>
                <a:pt x="3362325" y="1600200"/>
              </a:cubicBezTo>
              <a:cubicBezTo>
                <a:pt x="3379860" y="1608293"/>
                <a:pt x="3400977" y="1604176"/>
                <a:pt x="3419475" y="1609725"/>
              </a:cubicBezTo>
              <a:cubicBezTo>
                <a:pt x="3433075" y="1613805"/>
                <a:pt x="3445247" y="1621730"/>
                <a:pt x="3457575" y="1628775"/>
              </a:cubicBezTo>
              <a:cubicBezTo>
                <a:pt x="3484504" y="1644163"/>
                <a:pt x="3554826" y="1699959"/>
                <a:pt x="3562350" y="1704975"/>
              </a:cubicBezTo>
              <a:cubicBezTo>
                <a:pt x="3571875" y="1711325"/>
                <a:pt x="3580686" y="1718905"/>
                <a:pt x="3590925" y="1724025"/>
              </a:cubicBezTo>
              <a:cubicBezTo>
                <a:pt x="3612552" y="1734839"/>
                <a:pt x="3635587" y="1742594"/>
                <a:pt x="3657600" y="1752600"/>
              </a:cubicBezTo>
              <a:cubicBezTo>
                <a:pt x="3670526" y="1758476"/>
                <a:pt x="3682649" y="1766057"/>
                <a:pt x="3695700" y="1771650"/>
              </a:cubicBezTo>
              <a:cubicBezTo>
                <a:pt x="3704928" y="1775605"/>
                <a:pt x="3715047" y="1777220"/>
                <a:pt x="3724275" y="1781175"/>
              </a:cubicBezTo>
              <a:cubicBezTo>
                <a:pt x="3737326" y="1786768"/>
                <a:pt x="3749400" y="1794458"/>
                <a:pt x="3762375" y="1800225"/>
              </a:cubicBezTo>
              <a:cubicBezTo>
                <a:pt x="3777999" y="1807169"/>
                <a:pt x="3794476" y="1812110"/>
                <a:pt x="3810000" y="1819275"/>
              </a:cubicBezTo>
              <a:cubicBezTo>
                <a:pt x="3913892" y="1867225"/>
                <a:pt x="3851282" y="1848645"/>
                <a:pt x="3924300" y="1866900"/>
              </a:cubicBezTo>
              <a:cubicBezTo>
                <a:pt x="3974751" y="1900534"/>
                <a:pt x="3935274" y="1880152"/>
                <a:pt x="4019550" y="1895475"/>
              </a:cubicBezTo>
              <a:cubicBezTo>
                <a:pt x="4126996" y="1915011"/>
                <a:pt x="3952166" y="1905000"/>
                <a:pt x="4181475" y="1905000"/>
              </a:cubicBezTo>
            </a:path>
          </a:pathLst>
        </a:cu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447675</xdr:colOff>
      <xdr:row>4</xdr:row>
      <xdr:rowOff>152400</xdr:rowOff>
    </xdr:from>
    <xdr:to>
      <xdr:col>21</xdr:col>
      <xdr:colOff>365760</xdr:colOff>
      <xdr:row>15</xdr:row>
      <xdr:rowOff>65429</xdr:rowOff>
    </xdr:to>
    <xdr:sp macro="" textlink="">
      <xdr:nvSpPr>
        <xdr:cNvPr id="25" name="Freeform: Shape 24">
          <a:extLst>
            <a:ext uri="{FF2B5EF4-FFF2-40B4-BE49-F238E27FC236}">
              <a16:creationId xmlns:a16="http://schemas.microsoft.com/office/drawing/2014/main" id="{5CBDFC43-2C39-496C-923A-81FBF7759D17}"/>
            </a:ext>
          </a:extLst>
        </xdr:cNvPr>
        <xdr:cNvSpPr/>
      </xdr:nvSpPr>
      <xdr:spPr>
        <a:xfrm>
          <a:off x="8982075" y="876300"/>
          <a:ext cx="4185285" cy="1903754"/>
        </a:xfrm>
        <a:custGeom>
          <a:avLst/>
          <a:gdLst>
            <a:gd name="connsiteX0" fmla="*/ 0 w 4181475"/>
            <a:gd name="connsiteY0" fmla="*/ 1876425 h 1907564"/>
            <a:gd name="connsiteX1" fmla="*/ 190500 w 4181475"/>
            <a:gd name="connsiteY1" fmla="*/ 1857375 h 1907564"/>
            <a:gd name="connsiteX2" fmla="*/ 257175 w 4181475"/>
            <a:gd name="connsiteY2" fmla="*/ 1847850 h 1907564"/>
            <a:gd name="connsiteX3" fmla="*/ 390525 w 4181475"/>
            <a:gd name="connsiteY3" fmla="*/ 1857375 h 1907564"/>
            <a:gd name="connsiteX4" fmla="*/ 504825 w 4181475"/>
            <a:gd name="connsiteY4" fmla="*/ 1876425 h 1907564"/>
            <a:gd name="connsiteX5" fmla="*/ 828675 w 4181475"/>
            <a:gd name="connsiteY5" fmla="*/ 1857375 h 1907564"/>
            <a:gd name="connsiteX6" fmla="*/ 885825 w 4181475"/>
            <a:gd name="connsiteY6" fmla="*/ 1838325 h 1907564"/>
            <a:gd name="connsiteX7" fmla="*/ 904875 w 4181475"/>
            <a:gd name="connsiteY7" fmla="*/ 1809750 h 1907564"/>
            <a:gd name="connsiteX8" fmla="*/ 933450 w 4181475"/>
            <a:gd name="connsiteY8" fmla="*/ 1800225 h 1907564"/>
            <a:gd name="connsiteX9" fmla="*/ 1038225 w 4181475"/>
            <a:gd name="connsiteY9" fmla="*/ 1752600 h 1907564"/>
            <a:gd name="connsiteX10" fmla="*/ 1066800 w 4181475"/>
            <a:gd name="connsiteY10" fmla="*/ 1724025 h 1907564"/>
            <a:gd name="connsiteX11" fmla="*/ 1104900 w 4181475"/>
            <a:gd name="connsiteY11" fmla="*/ 1704975 h 1907564"/>
            <a:gd name="connsiteX12" fmla="*/ 1133475 w 4181475"/>
            <a:gd name="connsiteY12" fmla="*/ 1666875 h 1907564"/>
            <a:gd name="connsiteX13" fmla="*/ 1162050 w 4181475"/>
            <a:gd name="connsiteY13" fmla="*/ 1647825 h 1907564"/>
            <a:gd name="connsiteX14" fmla="*/ 1228725 w 4181475"/>
            <a:gd name="connsiteY14" fmla="*/ 1581150 h 1907564"/>
            <a:gd name="connsiteX15" fmla="*/ 1247775 w 4181475"/>
            <a:gd name="connsiteY15" fmla="*/ 1543050 h 1907564"/>
            <a:gd name="connsiteX16" fmla="*/ 1276350 w 4181475"/>
            <a:gd name="connsiteY16" fmla="*/ 1514475 h 1907564"/>
            <a:gd name="connsiteX17" fmla="*/ 1295400 w 4181475"/>
            <a:gd name="connsiteY17" fmla="*/ 1466850 h 1907564"/>
            <a:gd name="connsiteX18" fmla="*/ 1323975 w 4181475"/>
            <a:gd name="connsiteY18" fmla="*/ 1447800 h 1907564"/>
            <a:gd name="connsiteX19" fmla="*/ 1352550 w 4181475"/>
            <a:gd name="connsiteY19" fmla="*/ 1409700 h 1907564"/>
            <a:gd name="connsiteX20" fmla="*/ 1390650 w 4181475"/>
            <a:gd name="connsiteY20" fmla="*/ 1333500 h 1907564"/>
            <a:gd name="connsiteX21" fmla="*/ 1400175 w 4181475"/>
            <a:gd name="connsiteY21" fmla="*/ 1295400 h 1907564"/>
            <a:gd name="connsiteX22" fmla="*/ 1419225 w 4181475"/>
            <a:gd name="connsiteY22" fmla="*/ 1257300 h 1907564"/>
            <a:gd name="connsiteX23" fmla="*/ 1447800 w 4181475"/>
            <a:gd name="connsiteY23" fmla="*/ 1123950 h 1907564"/>
            <a:gd name="connsiteX24" fmla="*/ 1457325 w 4181475"/>
            <a:gd name="connsiteY24" fmla="*/ 1095375 h 1907564"/>
            <a:gd name="connsiteX25" fmla="*/ 1485900 w 4181475"/>
            <a:gd name="connsiteY25" fmla="*/ 1028700 h 1907564"/>
            <a:gd name="connsiteX26" fmla="*/ 1495425 w 4181475"/>
            <a:gd name="connsiteY26" fmla="*/ 981075 h 1907564"/>
            <a:gd name="connsiteX27" fmla="*/ 1514475 w 4181475"/>
            <a:gd name="connsiteY27" fmla="*/ 952500 h 1907564"/>
            <a:gd name="connsiteX28" fmla="*/ 1533525 w 4181475"/>
            <a:gd name="connsiteY28" fmla="*/ 914400 h 1907564"/>
            <a:gd name="connsiteX29" fmla="*/ 1543050 w 4181475"/>
            <a:gd name="connsiteY29" fmla="*/ 885825 h 1907564"/>
            <a:gd name="connsiteX30" fmla="*/ 1552575 w 4181475"/>
            <a:gd name="connsiteY30" fmla="*/ 847725 h 1907564"/>
            <a:gd name="connsiteX31" fmla="*/ 1590675 w 4181475"/>
            <a:gd name="connsiteY31" fmla="*/ 790575 h 1907564"/>
            <a:gd name="connsiteX32" fmla="*/ 1638300 w 4181475"/>
            <a:gd name="connsiteY32" fmla="*/ 714375 h 1907564"/>
            <a:gd name="connsiteX33" fmla="*/ 1666875 w 4181475"/>
            <a:gd name="connsiteY33" fmla="*/ 628650 h 1907564"/>
            <a:gd name="connsiteX34" fmla="*/ 1685925 w 4181475"/>
            <a:gd name="connsiteY34" fmla="*/ 571500 h 1907564"/>
            <a:gd name="connsiteX35" fmla="*/ 1724025 w 4181475"/>
            <a:gd name="connsiteY35" fmla="*/ 495300 h 1907564"/>
            <a:gd name="connsiteX36" fmla="*/ 1752600 w 4181475"/>
            <a:gd name="connsiteY36" fmla="*/ 409575 h 1907564"/>
            <a:gd name="connsiteX37" fmla="*/ 1762125 w 4181475"/>
            <a:gd name="connsiteY37" fmla="*/ 381000 h 1907564"/>
            <a:gd name="connsiteX38" fmla="*/ 1800225 w 4181475"/>
            <a:gd name="connsiteY38" fmla="*/ 257175 h 1907564"/>
            <a:gd name="connsiteX39" fmla="*/ 1809750 w 4181475"/>
            <a:gd name="connsiteY39" fmla="*/ 228600 h 1907564"/>
            <a:gd name="connsiteX40" fmla="*/ 1828800 w 4181475"/>
            <a:gd name="connsiteY40" fmla="*/ 200025 h 1907564"/>
            <a:gd name="connsiteX41" fmla="*/ 1847850 w 4181475"/>
            <a:gd name="connsiteY41" fmla="*/ 161925 h 1907564"/>
            <a:gd name="connsiteX42" fmla="*/ 1905000 w 4181475"/>
            <a:gd name="connsiteY42" fmla="*/ 95250 h 1907564"/>
            <a:gd name="connsiteX43" fmla="*/ 1943100 w 4181475"/>
            <a:gd name="connsiteY43" fmla="*/ 76200 h 1907564"/>
            <a:gd name="connsiteX44" fmla="*/ 1952625 w 4181475"/>
            <a:gd name="connsiteY44" fmla="*/ 47625 h 1907564"/>
            <a:gd name="connsiteX45" fmla="*/ 1990725 w 4181475"/>
            <a:gd name="connsiteY45" fmla="*/ 38100 h 1907564"/>
            <a:gd name="connsiteX46" fmla="*/ 2057400 w 4181475"/>
            <a:gd name="connsiteY46" fmla="*/ 0 h 1907564"/>
            <a:gd name="connsiteX47" fmla="*/ 2171700 w 4181475"/>
            <a:gd name="connsiteY47" fmla="*/ 28575 h 1907564"/>
            <a:gd name="connsiteX48" fmla="*/ 2228850 w 4181475"/>
            <a:gd name="connsiteY48" fmla="*/ 66675 h 1907564"/>
            <a:gd name="connsiteX49" fmla="*/ 2247900 w 4181475"/>
            <a:gd name="connsiteY49" fmla="*/ 95250 h 1907564"/>
            <a:gd name="connsiteX50" fmla="*/ 2324100 w 4181475"/>
            <a:gd name="connsiteY50" fmla="*/ 123825 h 1907564"/>
            <a:gd name="connsiteX51" fmla="*/ 2362200 w 4181475"/>
            <a:gd name="connsiteY51" fmla="*/ 104775 h 1907564"/>
            <a:gd name="connsiteX52" fmla="*/ 2419350 w 4181475"/>
            <a:gd name="connsiteY52" fmla="*/ 66675 h 1907564"/>
            <a:gd name="connsiteX53" fmla="*/ 2457450 w 4181475"/>
            <a:gd name="connsiteY53" fmla="*/ 76200 h 1907564"/>
            <a:gd name="connsiteX54" fmla="*/ 2466975 w 4181475"/>
            <a:gd name="connsiteY54" fmla="*/ 114300 h 1907564"/>
            <a:gd name="connsiteX55" fmla="*/ 2495550 w 4181475"/>
            <a:gd name="connsiteY55" fmla="*/ 200025 h 1907564"/>
            <a:gd name="connsiteX56" fmla="*/ 2505075 w 4181475"/>
            <a:gd name="connsiteY56" fmla="*/ 228600 h 1907564"/>
            <a:gd name="connsiteX57" fmla="*/ 2524125 w 4181475"/>
            <a:gd name="connsiteY57" fmla="*/ 295275 h 1907564"/>
            <a:gd name="connsiteX58" fmla="*/ 2533650 w 4181475"/>
            <a:gd name="connsiteY58" fmla="*/ 333375 h 1907564"/>
            <a:gd name="connsiteX59" fmla="*/ 2571750 w 4181475"/>
            <a:gd name="connsiteY59" fmla="*/ 428625 h 1907564"/>
            <a:gd name="connsiteX60" fmla="*/ 2590800 w 4181475"/>
            <a:gd name="connsiteY60" fmla="*/ 485775 h 1907564"/>
            <a:gd name="connsiteX61" fmla="*/ 2647950 w 4181475"/>
            <a:gd name="connsiteY61" fmla="*/ 542925 h 1907564"/>
            <a:gd name="connsiteX62" fmla="*/ 2676525 w 4181475"/>
            <a:gd name="connsiteY62" fmla="*/ 600075 h 1907564"/>
            <a:gd name="connsiteX63" fmla="*/ 2714625 w 4181475"/>
            <a:gd name="connsiteY63" fmla="*/ 619125 h 1907564"/>
            <a:gd name="connsiteX64" fmla="*/ 2743200 w 4181475"/>
            <a:gd name="connsiteY64" fmla="*/ 638175 h 1907564"/>
            <a:gd name="connsiteX65" fmla="*/ 2771775 w 4181475"/>
            <a:gd name="connsiteY65" fmla="*/ 666750 h 1907564"/>
            <a:gd name="connsiteX66" fmla="*/ 2819400 w 4181475"/>
            <a:gd name="connsiteY66" fmla="*/ 676275 h 1907564"/>
            <a:gd name="connsiteX67" fmla="*/ 2847975 w 4181475"/>
            <a:gd name="connsiteY67" fmla="*/ 685800 h 1907564"/>
            <a:gd name="connsiteX68" fmla="*/ 2876550 w 4181475"/>
            <a:gd name="connsiteY68" fmla="*/ 752475 h 1907564"/>
            <a:gd name="connsiteX69" fmla="*/ 2914650 w 4181475"/>
            <a:gd name="connsiteY69" fmla="*/ 819150 h 1907564"/>
            <a:gd name="connsiteX70" fmla="*/ 2933700 w 4181475"/>
            <a:gd name="connsiteY70" fmla="*/ 904875 h 1907564"/>
            <a:gd name="connsiteX71" fmla="*/ 2952750 w 4181475"/>
            <a:gd name="connsiteY71" fmla="*/ 962025 h 1907564"/>
            <a:gd name="connsiteX72" fmla="*/ 2962275 w 4181475"/>
            <a:gd name="connsiteY72" fmla="*/ 990600 h 1907564"/>
            <a:gd name="connsiteX73" fmla="*/ 2981325 w 4181475"/>
            <a:gd name="connsiteY73" fmla="*/ 1019175 h 1907564"/>
            <a:gd name="connsiteX74" fmla="*/ 3000375 w 4181475"/>
            <a:gd name="connsiteY74" fmla="*/ 1104900 h 1907564"/>
            <a:gd name="connsiteX75" fmla="*/ 3019425 w 4181475"/>
            <a:gd name="connsiteY75" fmla="*/ 1133475 h 1907564"/>
            <a:gd name="connsiteX76" fmla="*/ 3028950 w 4181475"/>
            <a:gd name="connsiteY76" fmla="*/ 1162050 h 1907564"/>
            <a:gd name="connsiteX77" fmla="*/ 3057525 w 4181475"/>
            <a:gd name="connsiteY77" fmla="*/ 1190625 h 1907564"/>
            <a:gd name="connsiteX78" fmla="*/ 3114675 w 4181475"/>
            <a:gd name="connsiteY78" fmla="*/ 1295400 h 1907564"/>
            <a:gd name="connsiteX79" fmla="*/ 3114675 w 4181475"/>
            <a:gd name="connsiteY79" fmla="*/ 1295400 h 1907564"/>
            <a:gd name="connsiteX80" fmla="*/ 3133725 w 4181475"/>
            <a:gd name="connsiteY80" fmla="*/ 1333500 h 1907564"/>
            <a:gd name="connsiteX81" fmla="*/ 3171825 w 4181475"/>
            <a:gd name="connsiteY81" fmla="*/ 1409700 h 1907564"/>
            <a:gd name="connsiteX82" fmla="*/ 3200400 w 4181475"/>
            <a:gd name="connsiteY82" fmla="*/ 1438275 h 1907564"/>
            <a:gd name="connsiteX83" fmla="*/ 3267075 w 4181475"/>
            <a:gd name="connsiteY83" fmla="*/ 1543050 h 1907564"/>
            <a:gd name="connsiteX84" fmla="*/ 3295650 w 4181475"/>
            <a:gd name="connsiteY84" fmla="*/ 1552575 h 1907564"/>
            <a:gd name="connsiteX85" fmla="*/ 3362325 w 4181475"/>
            <a:gd name="connsiteY85" fmla="*/ 1600200 h 1907564"/>
            <a:gd name="connsiteX86" fmla="*/ 3419475 w 4181475"/>
            <a:gd name="connsiteY86" fmla="*/ 1609725 h 1907564"/>
            <a:gd name="connsiteX87" fmla="*/ 3457575 w 4181475"/>
            <a:gd name="connsiteY87" fmla="*/ 1628775 h 1907564"/>
            <a:gd name="connsiteX88" fmla="*/ 3562350 w 4181475"/>
            <a:gd name="connsiteY88" fmla="*/ 1704975 h 1907564"/>
            <a:gd name="connsiteX89" fmla="*/ 3590925 w 4181475"/>
            <a:gd name="connsiteY89" fmla="*/ 1724025 h 1907564"/>
            <a:gd name="connsiteX90" fmla="*/ 3657600 w 4181475"/>
            <a:gd name="connsiteY90" fmla="*/ 1752600 h 1907564"/>
            <a:gd name="connsiteX91" fmla="*/ 3695700 w 4181475"/>
            <a:gd name="connsiteY91" fmla="*/ 1771650 h 1907564"/>
            <a:gd name="connsiteX92" fmla="*/ 3724275 w 4181475"/>
            <a:gd name="connsiteY92" fmla="*/ 1781175 h 1907564"/>
            <a:gd name="connsiteX93" fmla="*/ 3762375 w 4181475"/>
            <a:gd name="connsiteY93" fmla="*/ 1800225 h 1907564"/>
            <a:gd name="connsiteX94" fmla="*/ 3810000 w 4181475"/>
            <a:gd name="connsiteY94" fmla="*/ 1819275 h 1907564"/>
            <a:gd name="connsiteX95" fmla="*/ 3924300 w 4181475"/>
            <a:gd name="connsiteY95" fmla="*/ 1866900 h 1907564"/>
            <a:gd name="connsiteX96" fmla="*/ 4019550 w 4181475"/>
            <a:gd name="connsiteY96" fmla="*/ 1895475 h 1907564"/>
            <a:gd name="connsiteX97" fmla="*/ 4181475 w 4181475"/>
            <a:gd name="connsiteY97" fmla="*/ 1905000 h 19075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</a:cxnLst>
          <a:rect l="l" t="t" r="r" b="b"/>
          <a:pathLst>
            <a:path w="4181475" h="1907564">
              <a:moveTo>
                <a:pt x="0" y="1876425"/>
              </a:moveTo>
              <a:cubicBezTo>
                <a:pt x="106415" y="1855142"/>
                <a:pt x="-3868" y="1875045"/>
                <a:pt x="190500" y="1857375"/>
              </a:cubicBezTo>
              <a:cubicBezTo>
                <a:pt x="212858" y="1855342"/>
                <a:pt x="234950" y="1851025"/>
                <a:pt x="257175" y="1847850"/>
              </a:cubicBezTo>
              <a:cubicBezTo>
                <a:pt x="301625" y="1851025"/>
                <a:pt x="346162" y="1853150"/>
                <a:pt x="390525" y="1857375"/>
              </a:cubicBezTo>
              <a:cubicBezTo>
                <a:pt x="435635" y="1861671"/>
                <a:pt x="462293" y="1867919"/>
                <a:pt x="504825" y="1876425"/>
              </a:cubicBezTo>
              <a:cubicBezTo>
                <a:pt x="612775" y="1870075"/>
                <a:pt x="721075" y="1868135"/>
                <a:pt x="828675" y="1857375"/>
              </a:cubicBezTo>
              <a:cubicBezTo>
                <a:pt x="848656" y="1855377"/>
                <a:pt x="885825" y="1838325"/>
                <a:pt x="885825" y="1838325"/>
              </a:cubicBezTo>
              <a:cubicBezTo>
                <a:pt x="892175" y="1828800"/>
                <a:pt x="895936" y="1816901"/>
                <a:pt x="904875" y="1809750"/>
              </a:cubicBezTo>
              <a:cubicBezTo>
                <a:pt x="912715" y="1803478"/>
                <a:pt x="924310" y="1804380"/>
                <a:pt x="933450" y="1800225"/>
              </a:cubicBezTo>
              <a:cubicBezTo>
                <a:pt x="1050573" y="1746987"/>
                <a:pt x="971416" y="1774870"/>
                <a:pt x="1038225" y="1752600"/>
              </a:cubicBezTo>
              <a:cubicBezTo>
                <a:pt x="1047750" y="1743075"/>
                <a:pt x="1055839" y="1731855"/>
                <a:pt x="1066800" y="1724025"/>
              </a:cubicBezTo>
              <a:cubicBezTo>
                <a:pt x="1078354" y="1715772"/>
                <a:pt x="1094119" y="1714216"/>
                <a:pt x="1104900" y="1704975"/>
              </a:cubicBezTo>
              <a:cubicBezTo>
                <a:pt x="1116953" y="1694644"/>
                <a:pt x="1122250" y="1678100"/>
                <a:pt x="1133475" y="1666875"/>
              </a:cubicBezTo>
              <a:cubicBezTo>
                <a:pt x="1141570" y="1658780"/>
                <a:pt x="1153955" y="1655920"/>
                <a:pt x="1162050" y="1647825"/>
              </a:cubicBezTo>
              <a:cubicBezTo>
                <a:pt x="1250950" y="1558925"/>
                <a:pt x="1127125" y="1657350"/>
                <a:pt x="1228725" y="1581150"/>
              </a:cubicBezTo>
              <a:cubicBezTo>
                <a:pt x="1235075" y="1568450"/>
                <a:pt x="1239522" y="1554604"/>
                <a:pt x="1247775" y="1543050"/>
              </a:cubicBezTo>
              <a:cubicBezTo>
                <a:pt x="1255605" y="1532089"/>
                <a:pt x="1269211" y="1525898"/>
                <a:pt x="1276350" y="1514475"/>
              </a:cubicBezTo>
              <a:cubicBezTo>
                <a:pt x="1285412" y="1499976"/>
                <a:pt x="1285462" y="1480763"/>
                <a:pt x="1295400" y="1466850"/>
              </a:cubicBezTo>
              <a:cubicBezTo>
                <a:pt x="1302054" y="1457535"/>
                <a:pt x="1315880" y="1455895"/>
                <a:pt x="1323975" y="1447800"/>
              </a:cubicBezTo>
              <a:cubicBezTo>
                <a:pt x="1335200" y="1436575"/>
                <a:pt x="1343025" y="1422400"/>
                <a:pt x="1352550" y="1409700"/>
              </a:cubicBezTo>
              <a:cubicBezTo>
                <a:pt x="1375939" y="1316145"/>
                <a:pt x="1342077" y="1430645"/>
                <a:pt x="1390650" y="1333500"/>
              </a:cubicBezTo>
              <a:cubicBezTo>
                <a:pt x="1396504" y="1321791"/>
                <a:pt x="1395578" y="1307657"/>
                <a:pt x="1400175" y="1295400"/>
              </a:cubicBezTo>
              <a:cubicBezTo>
                <a:pt x="1405161" y="1282105"/>
                <a:pt x="1412875" y="1270000"/>
                <a:pt x="1419225" y="1257300"/>
              </a:cubicBezTo>
              <a:cubicBezTo>
                <a:pt x="1426515" y="1220851"/>
                <a:pt x="1436215" y="1164499"/>
                <a:pt x="1447800" y="1123950"/>
              </a:cubicBezTo>
              <a:cubicBezTo>
                <a:pt x="1450558" y="1114296"/>
                <a:pt x="1453370" y="1104603"/>
                <a:pt x="1457325" y="1095375"/>
              </a:cubicBezTo>
              <a:cubicBezTo>
                <a:pt x="1473681" y="1057211"/>
                <a:pt x="1476965" y="1064441"/>
                <a:pt x="1485900" y="1028700"/>
              </a:cubicBezTo>
              <a:cubicBezTo>
                <a:pt x="1489827" y="1012994"/>
                <a:pt x="1489741" y="996234"/>
                <a:pt x="1495425" y="981075"/>
              </a:cubicBezTo>
              <a:cubicBezTo>
                <a:pt x="1499445" y="970356"/>
                <a:pt x="1508795" y="962439"/>
                <a:pt x="1514475" y="952500"/>
              </a:cubicBezTo>
              <a:cubicBezTo>
                <a:pt x="1521520" y="940172"/>
                <a:pt x="1527932" y="927451"/>
                <a:pt x="1533525" y="914400"/>
              </a:cubicBezTo>
              <a:cubicBezTo>
                <a:pt x="1537480" y="905172"/>
                <a:pt x="1540292" y="895479"/>
                <a:pt x="1543050" y="885825"/>
              </a:cubicBezTo>
              <a:cubicBezTo>
                <a:pt x="1546646" y="873238"/>
                <a:pt x="1546721" y="859434"/>
                <a:pt x="1552575" y="847725"/>
              </a:cubicBezTo>
              <a:cubicBezTo>
                <a:pt x="1562814" y="827247"/>
                <a:pt x="1582172" y="811833"/>
                <a:pt x="1590675" y="790575"/>
              </a:cubicBezTo>
              <a:cubicBezTo>
                <a:pt x="1614728" y="730443"/>
                <a:pt x="1597635" y="755040"/>
                <a:pt x="1638300" y="714375"/>
              </a:cubicBezTo>
              <a:cubicBezTo>
                <a:pt x="1655633" y="645041"/>
                <a:pt x="1638181" y="707559"/>
                <a:pt x="1666875" y="628650"/>
              </a:cubicBezTo>
              <a:cubicBezTo>
                <a:pt x="1673737" y="609779"/>
                <a:pt x="1678015" y="589957"/>
                <a:pt x="1685925" y="571500"/>
              </a:cubicBezTo>
              <a:cubicBezTo>
                <a:pt x="1697112" y="545398"/>
                <a:pt x="1715045" y="522241"/>
                <a:pt x="1724025" y="495300"/>
              </a:cubicBezTo>
              <a:lnTo>
                <a:pt x="1752600" y="409575"/>
              </a:lnTo>
              <a:cubicBezTo>
                <a:pt x="1755775" y="400050"/>
                <a:pt x="1759690" y="390740"/>
                <a:pt x="1762125" y="381000"/>
              </a:cubicBezTo>
              <a:cubicBezTo>
                <a:pt x="1790829" y="266182"/>
                <a:pt x="1767855" y="343496"/>
                <a:pt x="1800225" y="257175"/>
              </a:cubicBezTo>
              <a:cubicBezTo>
                <a:pt x="1803750" y="247774"/>
                <a:pt x="1805260" y="237580"/>
                <a:pt x="1809750" y="228600"/>
              </a:cubicBezTo>
              <a:cubicBezTo>
                <a:pt x="1814870" y="218361"/>
                <a:pt x="1823120" y="209964"/>
                <a:pt x="1828800" y="200025"/>
              </a:cubicBezTo>
              <a:cubicBezTo>
                <a:pt x="1835845" y="187697"/>
                <a:pt x="1840325" y="173966"/>
                <a:pt x="1847850" y="161925"/>
              </a:cubicBezTo>
              <a:cubicBezTo>
                <a:pt x="1858340" y="145141"/>
                <a:pt x="1887403" y="107819"/>
                <a:pt x="1905000" y="95250"/>
              </a:cubicBezTo>
              <a:cubicBezTo>
                <a:pt x="1916554" y="86997"/>
                <a:pt x="1930400" y="82550"/>
                <a:pt x="1943100" y="76200"/>
              </a:cubicBezTo>
              <a:cubicBezTo>
                <a:pt x="1946275" y="66675"/>
                <a:pt x="1944785" y="53897"/>
                <a:pt x="1952625" y="47625"/>
              </a:cubicBezTo>
              <a:cubicBezTo>
                <a:pt x="1962847" y="39447"/>
                <a:pt x="1978468" y="42697"/>
                <a:pt x="1990725" y="38100"/>
              </a:cubicBezTo>
              <a:cubicBezTo>
                <a:pt x="2018347" y="27742"/>
                <a:pt x="2033713" y="15791"/>
                <a:pt x="2057400" y="0"/>
              </a:cubicBezTo>
              <a:cubicBezTo>
                <a:pt x="2098064" y="6777"/>
                <a:pt x="2133964" y="9707"/>
                <a:pt x="2171700" y="28575"/>
              </a:cubicBezTo>
              <a:cubicBezTo>
                <a:pt x="2192178" y="38814"/>
                <a:pt x="2209800" y="53975"/>
                <a:pt x="2228850" y="66675"/>
              </a:cubicBezTo>
              <a:cubicBezTo>
                <a:pt x="2235200" y="76200"/>
                <a:pt x="2239106" y="87921"/>
                <a:pt x="2247900" y="95250"/>
              </a:cubicBezTo>
              <a:cubicBezTo>
                <a:pt x="2269247" y="113039"/>
                <a:pt x="2298466" y="117416"/>
                <a:pt x="2324100" y="123825"/>
              </a:cubicBezTo>
              <a:cubicBezTo>
                <a:pt x="2336800" y="117475"/>
                <a:pt x="2350024" y="112080"/>
                <a:pt x="2362200" y="104775"/>
              </a:cubicBezTo>
              <a:cubicBezTo>
                <a:pt x="2381833" y="92995"/>
                <a:pt x="2419350" y="66675"/>
                <a:pt x="2419350" y="66675"/>
              </a:cubicBezTo>
              <a:cubicBezTo>
                <a:pt x="2432050" y="69850"/>
                <a:pt x="2448193" y="66943"/>
                <a:pt x="2457450" y="76200"/>
              </a:cubicBezTo>
              <a:cubicBezTo>
                <a:pt x="2466707" y="85457"/>
                <a:pt x="2463125" y="101788"/>
                <a:pt x="2466975" y="114300"/>
              </a:cubicBezTo>
              <a:cubicBezTo>
                <a:pt x="2475833" y="143089"/>
                <a:pt x="2486025" y="171450"/>
                <a:pt x="2495550" y="200025"/>
              </a:cubicBezTo>
              <a:cubicBezTo>
                <a:pt x="2498725" y="209550"/>
                <a:pt x="2502317" y="218946"/>
                <a:pt x="2505075" y="228600"/>
              </a:cubicBezTo>
              <a:cubicBezTo>
                <a:pt x="2511425" y="250825"/>
                <a:pt x="2518043" y="272975"/>
                <a:pt x="2524125" y="295275"/>
              </a:cubicBezTo>
              <a:cubicBezTo>
                <a:pt x="2527569" y="307905"/>
                <a:pt x="2529247" y="321047"/>
                <a:pt x="2533650" y="333375"/>
              </a:cubicBezTo>
              <a:cubicBezTo>
                <a:pt x="2545151" y="365579"/>
                <a:pt x="2560936" y="396184"/>
                <a:pt x="2571750" y="428625"/>
              </a:cubicBezTo>
              <a:cubicBezTo>
                <a:pt x="2578100" y="447675"/>
                <a:pt x="2576601" y="471576"/>
                <a:pt x="2590800" y="485775"/>
              </a:cubicBezTo>
              <a:lnTo>
                <a:pt x="2647950" y="542925"/>
              </a:lnTo>
              <a:cubicBezTo>
                <a:pt x="2654451" y="562429"/>
                <a:pt x="2659481" y="585872"/>
                <a:pt x="2676525" y="600075"/>
              </a:cubicBezTo>
              <a:cubicBezTo>
                <a:pt x="2687433" y="609165"/>
                <a:pt x="2702297" y="612080"/>
                <a:pt x="2714625" y="619125"/>
              </a:cubicBezTo>
              <a:cubicBezTo>
                <a:pt x="2724564" y="624805"/>
                <a:pt x="2734406" y="630846"/>
                <a:pt x="2743200" y="638175"/>
              </a:cubicBezTo>
              <a:cubicBezTo>
                <a:pt x="2753548" y="646799"/>
                <a:pt x="2759727" y="660726"/>
                <a:pt x="2771775" y="666750"/>
              </a:cubicBezTo>
              <a:cubicBezTo>
                <a:pt x="2786255" y="673990"/>
                <a:pt x="2803694" y="672348"/>
                <a:pt x="2819400" y="676275"/>
              </a:cubicBezTo>
              <a:cubicBezTo>
                <a:pt x="2829140" y="678710"/>
                <a:pt x="2838450" y="682625"/>
                <a:pt x="2847975" y="685800"/>
              </a:cubicBezTo>
              <a:cubicBezTo>
                <a:pt x="2867799" y="765094"/>
                <a:pt x="2843661" y="686696"/>
                <a:pt x="2876550" y="752475"/>
              </a:cubicBezTo>
              <a:cubicBezTo>
                <a:pt x="2912913" y="825201"/>
                <a:pt x="2845554" y="727022"/>
                <a:pt x="2914650" y="819150"/>
              </a:cubicBezTo>
              <a:cubicBezTo>
                <a:pt x="2941902" y="900906"/>
                <a:pt x="2900173" y="770768"/>
                <a:pt x="2933700" y="904875"/>
              </a:cubicBezTo>
              <a:cubicBezTo>
                <a:pt x="2938570" y="924356"/>
                <a:pt x="2946400" y="942975"/>
                <a:pt x="2952750" y="962025"/>
              </a:cubicBezTo>
              <a:cubicBezTo>
                <a:pt x="2955925" y="971550"/>
                <a:pt x="2956706" y="982246"/>
                <a:pt x="2962275" y="990600"/>
              </a:cubicBezTo>
              <a:lnTo>
                <a:pt x="2981325" y="1019175"/>
              </a:lnTo>
              <a:cubicBezTo>
                <a:pt x="2983020" y="1027651"/>
                <a:pt x="2995331" y="1093130"/>
                <a:pt x="3000375" y="1104900"/>
              </a:cubicBezTo>
              <a:cubicBezTo>
                <a:pt x="3004884" y="1115422"/>
                <a:pt x="3014305" y="1123236"/>
                <a:pt x="3019425" y="1133475"/>
              </a:cubicBezTo>
              <a:cubicBezTo>
                <a:pt x="3023915" y="1142455"/>
                <a:pt x="3023381" y="1153696"/>
                <a:pt x="3028950" y="1162050"/>
              </a:cubicBezTo>
              <a:cubicBezTo>
                <a:pt x="3036422" y="1173258"/>
                <a:pt x="3048000" y="1181100"/>
                <a:pt x="3057525" y="1190625"/>
              </a:cubicBezTo>
              <a:cubicBezTo>
                <a:pt x="3085078" y="1259508"/>
                <a:pt x="3067091" y="1224024"/>
                <a:pt x="3114675" y="1295400"/>
              </a:cubicBezTo>
              <a:lnTo>
                <a:pt x="3114675" y="1295400"/>
              </a:lnTo>
              <a:cubicBezTo>
                <a:pt x="3121025" y="1308100"/>
                <a:pt x="3128132" y="1320449"/>
                <a:pt x="3133725" y="1333500"/>
              </a:cubicBezTo>
              <a:cubicBezTo>
                <a:pt x="3153258" y="1379077"/>
                <a:pt x="3130426" y="1354501"/>
                <a:pt x="3171825" y="1409700"/>
              </a:cubicBezTo>
              <a:cubicBezTo>
                <a:pt x="3179907" y="1420476"/>
                <a:pt x="3190875" y="1428750"/>
                <a:pt x="3200400" y="1438275"/>
              </a:cubicBezTo>
              <a:cubicBezTo>
                <a:pt x="3212474" y="1474496"/>
                <a:pt x="3227591" y="1529889"/>
                <a:pt x="3267075" y="1543050"/>
              </a:cubicBezTo>
              <a:lnTo>
                <a:pt x="3295650" y="1552575"/>
              </a:lnTo>
              <a:cubicBezTo>
                <a:pt x="3317875" y="1568450"/>
                <a:pt x="3337526" y="1588755"/>
                <a:pt x="3362325" y="1600200"/>
              </a:cubicBezTo>
              <a:cubicBezTo>
                <a:pt x="3379860" y="1608293"/>
                <a:pt x="3400977" y="1604176"/>
                <a:pt x="3419475" y="1609725"/>
              </a:cubicBezTo>
              <a:cubicBezTo>
                <a:pt x="3433075" y="1613805"/>
                <a:pt x="3445247" y="1621730"/>
                <a:pt x="3457575" y="1628775"/>
              </a:cubicBezTo>
              <a:cubicBezTo>
                <a:pt x="3484504" y="1644163"/>
                <a:pt x="3554826" y="1699959"/>
                <a:pt x="3562350" y="1704975"/>
              </a:cubicBezTo>
              <a:cubicBezTo>
                <a:pt x="3571875" y="1711325"/>
                <a:pt x="3580686" y="1718905"/>
                <a:pt x="3590925" y="1724025"/>
              </a:cubicBezTo>
              <a:cubicBezTo>
                <a:pt x="3612552" y="1734839"/>
                <a:pt x="3635587" y="1742594"/>
                <a:pt x="3657600" y="1752600"/>
              </a:cubicBezTo>
              <a:cubicBezTo>
                <a:pt x="3670526" y="1758476"/>
                <a:pt x="3682649" y="1766057"/>
                <a:pt x="3695700" y="1771650"/>
              </a:cubicBezTo>
              <a:cubicBezTo>
                <a:pt x="3704928" y="1775605"/>
                <a:pt x="3715047" y="1777220"/>
                <a:pt x="3724275" y="1781175"/>
              </a:cubicBezTo>
              <a:cubicBezTo>
                <a:pt x="3737326" y="1786768"/>
                <a:pt x="3749400" y="1794458"/>
                <a:pt x="3762375" y="1800225"/>
              </a:cubicBezTo>
              <a:cubicBezTo>
                <a:pt x="3777999" y="1807169"/>
                <a:pt x="3794476" y="1812110"/>
                <a:pt x="3810000" y="1819275"/>
              </a:cubicBezTo>
              <a:cubicBezTo>
                <a:pt x="3913892" y="1867225"/>
                <a:pt x="3851282" y="1848645"/>
                <a:pt x="3924300" y="1866900"/>
              </a:cubicBezTo>
              <a:cubicBezTo>
                <a:pt x="3974751" y="1900534"/>
                <a:pt x="3935274" y="1880152"/>
                <a:pt x="4019550" y="1895475"/>
              </a:cubicBezTo>
              <a:cubicBezTo>
                <a:pt x="4126996" y="1915011"/>
                <a:pt x="3952166" y="1905000"/>
                <a:pt x="4181475" y="1905000"/>
              </a:cubicBezTo>
            </a:path>
          </a:pathLst>
        </a:cu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476250</xdr:colOff>
      <xdr:row>4</xdr:row>
      <xdr:rowOff>142875</xdr:rowOff>
    </xdr:from>
    <xdr:to>
      <xdr:col>13</xdr:col>
      <xdr:colOff>392430</xdr:colOff>
      <xdr:row>15</xdr:row>
      <xdr:rowOff>53999</xdr:rowOff>
    </xdr:to>
    <xdr:sp macro="" textlink="">
      <xdr:nvSpPr>
        <xdr:cNvPr id="26" name="Freeform: Shape 25">
          <a:extLst>
            <a:ext uri="{FF2B5EF4-FFF2-40B4-BE49-F238E27FC236}">
              <a16:creationId xmlns:a16="http://schemas.microsoft.com/office/drawing/2014/main" id="{A7D7C06B-4E38-45C4-818E-9716A49FFEA0}"/>
            </a:ext>
          </a:extLst>
        </xdr:cNvPr>
        <xdr:cNvSpPr/>
      </xdr:nvSpPr>
      <xdr:spPr>
        <a:xfrm>
          <a:off x="4133850" y="866775"/>
          <a:ext cx="4183380" cy="1901849"/>
        </a:xfrm>
        <a:custGeom>
          <a:avLst/>
          <a:gdLst>
            <a:gd name="connsiteX0" fmla="*/ 0 w 4181475"/>
            <a:gd name="connsiteY0" fmla="*/ 1876425 h 1907564"/>
            <a:gd name="connsiteX1" fmla="*/ 190500 w 4181475"/>
            <a:gd name="connsiteY1" fmla="*/ 1857375 h 1907564"/>
            <a:gd name="connsiteX2" fmla="*/ 257175 w 4181475"/>
            <a:gd name="connsiteY2" fmla="*/ 1847850 h 1907564"/>
            <a:gd name="connsiteX3" fmla="*/ 390525 w 4181475"/>
            <a:gd name="connsiteY3" fmla="*/ 1857375 h 1907564"/>
            <a:gd name="connsiteX4" fmla="*/ 504825 w 4181475"/>
            <a:gd name="connsiteY4" fmla="*/ 1876425 h 1907564"/>
            <a:gd name="connsiteX5" fmla="*/ 828675 w 4181475"/>
            <a:gd name="connsiteY5" fmla="*/ 1857375 h 1907564"/>
            <a:gd name="connsiteX6" fmla="*/ 885825 w 4181475"/>
            <a:gd name="connsiteY6" fmla="*/ 1838325 h 1907564"/>
            <a:gd name="connsiteX7" fmla="*/ 904875 w 4181475"/>
            <a:gd name="connsiteY7" fmla="*/ 1809750 h 1907564"/>
            <a:gd name="connsiteX8" fmla="*/ 933450 w 4181475"/>
            <a:gd name="connsiteY8" fmla="*/ 1800225 h 1907564"/>
            <a:gd name="connsiteX9" fmla="*/ 1038225 w 4181475"/>
            <a:gd name="connsiteY9" fmla="*/ 1752600 h 1907564"/>
            <a:gd name="connsiteX10" fmla="*/ 1066800 w 4181475"/>
            <a:gd name="connsiteY10" fmla="*/ 1724025 h 1907564"/>
            <a:gd name="connsiteX11" fmla="*/ 1104900 w 4181475"/>
            <a:gd name="connsiteY11" fmla="*/ 1704975 h 1907564"/>
            <a:gd name="connsiteX12" fmla="*/ 1133475 w 4181475"/>
            <a:gd name="connsiteY12" fmla="*/ 1666875 h 1907564"/>
            <a:gd name="connsiteX13" fmla="*/ 1162050 w 4181475"/>
            <a:gd name="connsiteY13" fmla="*/ 1647825 h 1907564"/>
            <a:gd name="connsiteX14" fmla="*/ 1228725 w 4181475"/>
            <a:gd name="connsiteY14" fmla="*/ 1581150 h 1907564"/>
            <a:gd name="connsiteX15" fmla="*/ 1247775 w 4181475"/>
            <a:gd name="connsiteY15" fmla="*/ 1543050 h 1907564"/>
            <a:gd name="connsiteX16" fmla="*/ 1276350 w 4181475"/>
            <a:gd name="connsiteY16" fmla="*/ 1514475 h 1907564"/>
            <a:gd name="connsiteX17" fmla="*/ 1295400 w 4181475"/>
            <a:gd name="connsiteY17" fmla="*/ 1466850 h 1907564"/>
            <a:gd name="connsiteX18" fmla="*/ 1323975 w 4181475"/>
            <a:gd name="connsiteY18" fmla="*/ 1447800 h 1907564"/>
            <a:gd name="connsiteX19" fmla="*/ 1352550 w 4181475"/>
            <a:gd name="connsiteY19" fmla="*/ 1409700 h 1907564"/>
            <a:gd name="connsiteX20" fmla="*/ 1390650 w 4181475"/>
            <a:gd name="connsiteY20" fmla="*/ 1333500 h 1907564"/>
            <a:gd name="connsiteX21" fmla="*/ 1400175 w 4181475"/>
            <a:gd name="connsiteY21" fmla="*/ 1295400 h 1907564"/>
            <a:gd name="connsiteX22" fmla="*/ 1419225 w 4181475"/>
            <a:gd name="connsiteY22" fmla="*/ 1257300 h 1907564"/>
            <a:gd name="connsiteX23" fmla="*/ 1447800 w 4181475"/>
            <a:gd name="connsiteY23" fmla="*/ 1123950 h 1907564"/>
            <a:gd name="connsiteX24" fmla="*/ 1457325 w 4181475"/>
            <a:gd name="connsiteY24" fmla="*/ 1095375 h 1907564"/>
            <a:gd name="connsiteX25" fmla="*/ 1485900 w 4181475"/>
            <a:gd name="connsiteY25" fmla="*/ 1028700 h 1907564"/>
            <a:gd name="connsiteX26" fmla="*/ 1495425 w 4181475"/>
            <a:gd name="connsiteY26" fmla="*/ 981075 h 1907564"/>
            <a:gd name="connsiteX27" fmla="*/ 1514475 w 4181475"/>
            <a:gd name="connsiteY27" fmla="*/ 952500 h 1907564"/>
            <a:gd name="connsiteX28" fmla="*/ 1533525 w 4181475"/>
            <a:gd name="connsiteY28" fmla="*/ 914400 h 1907564"/>
            <a:gd name="connsiteX29" fmla="*/ 1543050 w 4181475"/>
            <a:gd name="connsiteY29" fmla="*/ 885825 h 1907564"/>
            <a:gd name="connsiteX30" fmla="*/ 1552575 w 4181475"/>
            <a:gd name="connsiteY30" fmla="*/ 847725 h 1907564"/>
            <a:gd name="connsiteX31" fmla="*/ 1590675 w 4181475"/>
            <a:gd name="connsiteY31" fmla="*/ 790575 h 1907564"/>
            <a:gd name="connsiteX32" fmla="*/ 1638300 w 4181475"/>
            <a:gd name="connsiteY32" fmla="*/ 714375 h 1907564"/>
            <a:gd name="connsiteX33" fmla="*/ 1666875 w 4181475"/>
            <a:gd name="connsiteY33" fmla="*/ 628650 h 1907564"/>
            <a:gd name="connsiteX34" fmla="*/ 1685925 w 4181475"/>
            <a:gd name="connsiteY34" fmla="*/ 571500 h 1907564"/>
            <a:gd name="connsiteX35" fmla="*/ 1724025 w 4181475"/>
            <a:gd name="connsiteY35" fmla="*/ 495300 h 1907564"/>
            <a:gd name="connsiteX36" fmla="*/ 1752600 w 4181475"/>
            <a:gd name="connsiteY36" fmla="*/ 409575 h 1907564"/>
            <a:gd name="connsiteX37" fmla="*/ 1762125 w 4181475"/>
            <a:gd name="connsiteY37" fmla="*/ 381000 h 1907564"/>
            <a:gd name="connsiteX38" fmla="*/ 1800225 w 4181475"/>
            <a:gd name="connsiteY38" fmla="*/ 257175 h 1907564"/>
            <a:gd name="connsiteX39" fmla="*/ 1809750 w 4181475"/>
            <a:gd name="connsiteY39" fmla="*/ 228600 h 1907564"/>
            <a:gd name="connsiteX40" fmla="*/ 1828800 w 4181475"/>
            <a:gd name="connsiteY40" fmla="*/ 200025 h 1907564"/>
            <a:gd name="connsiteX41" fmla="*/ 1847850 w 4181475"/>
            <a:gd name="connsiteY41" fmla="*/ 161925 h 1907564"/>
            <a:gd name="connsiteX42" fmla="*/ 1905000 w 4181475"/>
            <a:gd name="connsiteY42" fmla="*/ 95250 h 1907564"/>
            <a:gd name="connsiteX43" fmla="*/ 1943100 w 4181475"/>
            <a:gd name="connsiteY43" fmla="*/ 76200 h 1907564"/>
            <a:gd name="connsiteX44" fmla="*/ 1952625 w 4181475"/>
            <a:gd name="connsiteY44" fmla="*/ 47625 h 1907564"/>
            <a:gd name="connsiteX45" fmla="*/ 1990725 w 4181475"/>
            <a:gd name="connsiteY45" fmla="*/ 38100 h 1907564"/>
            <a:gd name="connsiteX46" fmla="*/ 2057400 w 4181475"/>
            <a:gd name="connsiteY46" fmla="*/ 0 h 1907564"/>
            <a:gd name="connsiteX47" fmla="*/ 2171700 w 4181475"/>
            <a:gd name="connsiteY47" fmla="*/ 28575 h 1907564"/>
            <a:gd name="connsiteX48" fmla="*/ 2228850 w 4181475"/>
            <a:gd name="connsiteY48" fmla="*/ 66675 h 1907564"/>
            <a:gd name="connsiteX49" fmla="*/ 2247900 w 4181475"/>
            <a:gd name="connsiteY49" fmla="*/ 95250 h 1907564"/>
            <a:gd name="connsiteX50" fmla="*/ 2324100 w 4181475"/>
            <a:gd name="connsiteY50" fmla="*/ 123825 h 1907564"/>
            <a:gd name="connsiteX51" fmla="*/ 2362200 w 4181475"/>
            <a:gd name="connsiteY51" fmla="*/ 104775 h 1907564"/>
            <a:gd name="connsiteX52" fmla="*/ 2419350 w 4181475"/>
            <a:gd name="connsiteY52" fmla="*/ 66675 h 1907564"/>
            <a:gd name="connsiteX53" fmla="*/ 2457450 w 4181475"/>
            <a:gd name="connsiteY53" fmla="*/ 76200 h 1907564"/>
            <a:gd name="connsiteX54" fmla="*/ 2466975 w 4181475"/>
            <a:gd name="connsiteY54" fmla="*/ 114300 h 1907564"/>
            <a:gd name="connsiteX55" fmla="*/ 2495550 w 4181475"/>
            <a:gd name="connsiteY55" fmla="*/ 200025 h 1907564"/>
            <a:gd name="connsiteX56" fmla="*/ 2505075 w 4181475"/>
            <a:gd name="connsiteY56" fmla="*/ 228600 h 1907564"/>
            <a:gd name="connsiteX57" fmla="*/ 2524125 w 4181475"/>
            <a:gd name="connsiteY57" fmla="*/ 295275 h 1907564"/>
            <a:gd name="connsiteX58" fmla="*/ 2533650 w 4181475"/>
            <a:gd name="connsiteY58" fmla="*/ 333375 h 1907564"/>
            <a:gd name="connsiteX59" fmla="*/ 2571750 w 4181475"/>
            <a:gd name="connsiteY59" fmla="*/ 428625 h 1907564"/>
            <a:gd name="connsiteX60" fmla="*/ 2590800 w 4181475"/>
            <a:gd name="connsiteY60" fmla="*/ 485775 h 1907564"/>
            <a:gd name="connsiteX61" fmla="*/ 2647950 w 4181475"/>
            <a:gd name="connsiteY61" fmla="*/ 542925 h 1907564"/>
            <a:gd name="connsiteX62" fmla="*/ 2676525 w 4181475"/>
            <a:gd name="connsiteY62" fmla="*/ 600075 h 1907564"/>
            <a:gd name="connsiteX63" fmla="*/ 2714625 w 4181475"/>
            <a:gd name="connsiteY63" fmla="*/ 619125 h 1907564"/>
            <a:gd name="connsiteX64" fmla="*/ 2743200 w 4181475"/>
            <a:gd name="connsiteY64" fmla="*/ 638175 h 1907564"/>
            <a:gd name="connsiteX65" fmla="*/ 2771775 w 4181475"/>
            <a:gd name="connsiteY65" fmla="*/ 666750 h 1907564"/>
            <a:gd name="connsiteX66" fmla="*/ 2819400 w 4181475"/>
            <a:gd name="connsiteY66" fmla="*/ 676275 h 1907564"/>
            <a:gd name="connsiteX67" fmla="*/ 2847975 w 4181475"/>
            <a:gd name="connsiteY67" fmla="*/ 685800 h 1907564"/>
            <a:gd name="connsiteX68" fmla="*/ 2876550 w 4181475"/>
            <a:gd name="connsiteY68" fmla="*/ 752475 h 1907564"/>
            <a:gd name="connsiteX69" fmla="*/ 2914650 w 4181475"/>
            <a:gd name="connsiteY69" fmla="*/ 819150 h 1907564"/>
            <a:gd name="connsiteX70" fmla="*/ 2933700 w 4181475"/>
            <a:gd name="connsiteY70" fmla="*/ 904875 h 1907564"/>
            <a:gd name="connsiteX71" fmla="*/ 2952750 w 4181475"/>
            <a:gd name="connsiteY71" fmla="*/ 962025 h 1907564"/>
            <a:gd name="connsiteX72" fmla="*/ 2962275 w 4181475"/>
            <a:gd name="connsiteY72" fmla="*/ 990600 h 1907564"/>
            <a:gd name="connsiteX73" fmla="*/ 2981325 w 4181475"/>
            <a:gd name="connsiteY73" fmla="*/ 1019175 h 1907564"/>
            <a:gd name="connsiteX74" fmla="*/ 3000375 w 4181475"/>
            <a:gd name="connsiteY74" fmla="*/ 1104900 h 1907564"/>
            <a:gd name="connsiteX75" fmla="*/ 3019425 w 4181475"/>
            <a:gd name="connsiteY75" fmla="*/ 1133475 h 1907564"/>
            <a:gd name="connsiteX76" fmla="*/ 3028950 w 4181475"/>
            <a:gd name="connsiteY76" fmla="*/ 1162050 h 1907564"/>
            <a:gd name="connsiteX77" fmla="*/ 3057525 w 4181475"/>
            <a:gd name="connsiteY77" fmla="*/ 1190625 h 1907564"/>
            <a:gd name="connsiteX78" fmla="*/ 3114675 w 4181475"/>
            <a:gd name="connsiteY78" fmla="*/ 1295400 h 1907564"/>
            <a:gd name="connsiteX79" fmla="*/ 3114675 w 4181475"/>
            <a:gd name="connsiteY79" fmla="*/ 1295400 h 1907564"/>
            <a:gd name="connsiteX80" fmla="*/ 3133725 w 4181475"/>
            <a:gd name="connsiteY80" fmla="*/ 1333500 h 1907564"/>
            <a:gd name="connsiteX81" fmla="*/ 3171825 w 4181475"/>
            <a:gd name="connsiteY81" fmla="*/ 1409700 h 1907564"/>
            <a:gd name="connsiteX82" fmla="*/ 3200400 w 4181475"/>
            <a:gd name="connsiteY82" fmla="*/ 1438275 h 1907564"/>
            <a:gd name="connsiteX83" fmla="*/ 3267075 w 4181475"/>
            <a:gd name="connsiteY83" fmla="*/ 1543050 h 1907564"/>
            <a:gd name="connsiteX84" fmla="*/ 3295650 w 4181475"/>
            <a:gd name="connsiteY84" fmla="*/ 1552575 h 1907564"/>
            <a:gd name="connsiteX85" fmla="*/ 3362325 w 4181475"/>
            <a:gd name="connsiteY85" fmla="*/ 1600200 h 1907564"/>
            <a:gd name="connsiteX86" fmla="*/ 3419475 w 4181475"/>
            <a:gd name="connsiteY86" fmla="*/ 1609725 h 1907564"/>
            <a:gd name="connsiteX87" fmla="*/ 3457575 w 4181475"/>
            <a:gd name="connsiteY87" fmla="*/ 1628775 h 1907564"/>
            <a:gd name="connsiteX88" fmla="*/ 3562350 w 4181475"/>
            <a:gd name="connsiteY88" fmla="*/ 1704975 h 1907564"/>
            <a:gd name="connsiteX89" fmla="*/ 3590925 w 4181475"/>
            <a:gd name="connsiteY89" fmla="*/ 1724025 h 1907564"/>
            <a:gd name="connsiteX90" fmla="*/ 3657600 w 4181475"/>
            <a:gd name="connsiteY90" fmla="*/ 1752600 h 1907564"/>
            <a:gd name="connsiteX91" fmla="*/ 3695700 w 4181475"/>
            <a:gd name="connsiteY91" fmla="*/ 1771650 h 1907564"/>
            <a:gd name="connsiteX92" fmla="*/ 3724275 w 4181475"/>
            <a:gd name="connsiteY92" fmla="*/ 1781175 h 1907564"/>
            <a:gd name="connsiteX93" fmla="*/ 3762375 w 4181475"/>
            <a:gd name="connsiteY93" fmla="*/ 1800225 h 1907564"/>
            <a:gd name="connsiteX94" fmla="*/ 3810000 w 4181475"/>
            <a:gd name="connsiteY94" fmla="*/ 1819275 h 1907564"/>
            <a:gd name="connsiteX95" fmla="*/ 3924300 w 4181475"/>
            <a:gd name="connsiteY95" fmla="*/ 1866900 h 1907564"/>
            <a:gd name="connsiteX96" fmla="*/ 4019550 w 4181475"/>
            <a:gd name="connsiteY96" fmla="*/ 1895475 h 1907564"/>
            <a:gd name="connsiteX97" fmla="*/ 4181475 w 4181475"/>
            <a:gd name="connsiteY97" fmla="*/ 1905000 h 19075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</a:cxnLst>
          <a:rect l="l" t="t" r="r" b="b"/>
          <a:pathLst>
            <a:path w="4181475" h="1907564">
              <a:moveTo>
                <a:pt x="0" y="1876425"/>
              </a:moveTo>
              <a:cubicBezTo>
                <a:pt x="106415" y="1855142"/>
                <a:pt x="-3868" y="1875045"/>
                <a:pt x="190500" y="1857375"/>
              </a:cubicBezTo>
              <a:cubicBezTo>
                <a:pt x="212858" y="1855342"/>
                <a:pt x="234950" y="1851025"/>
                <a:pt x="257175" y="1847850"/>
              </a:cubicBezTo>
              <a:cubicBezTo>
                <a:pt x="301625" y="1851025"/>
                <a:pt x="346162" y="1853150"/>
                <a:pt x="390525" y="1857375"/>
              </a:cubicBezTo>
              <a:cubicBezTo>
                <a:pt x="435635" y="1861671"/>
                <a:pt x="462293" y="1867919"/>
                <a:pt x="504825" y="1876425"/>
              </a:cubicBezTo>
              <a:cubicBezTo>
                <a:pt x="612775" y="1870075"/>
                <a:pt x="721075" y="1868135"/>
                <a:pt x="828675" y="1857375"/>
              </a:cubicBezTo>
              <a:cubicBezTo>
                <a:pt x="848656" y="1855377"/>
                <a:pt x="885825" y="1838325"/>
                <a:pt x="885825" y="1838325"/>
              </a:cubicBezTo>
              <a:cubicBezTo>
                <a:pt x="892175" y="1828800"/>
                <a:pt x="895936" y="1816901"/>
                <a:pt x="904875" y="1809750"/>
              </a:cubicBezTo>
              <a:cubicBezTo>
                <a:pt x="912715" y="1803478"/>
                <a:pt x="924310" y="1804380"/>
                <a:pt x="933450" y="1800225"/>
              </a:cubicBezTo>
              <a:cubicBezTo>
                <a:pt x="1050573" y="1746987"/>
                <a:pt x="971416" y="1774870"/>
                <a:pt x="1038225" y="1752600"/>
              </a:cubicBezTo>
              <a:cubicBezTo>
                <a:pt x="1047750" y="1743075"/>
                <a:pt x="1055839" y="1731855"/>
                <a:pt x="1066800" y="1724025"/>
              </a:cubicBezTo>
              <a:cubicBezTo>
                <a:pt x="1078354" y="1715772"/>
                <a:pt x="1094119" y="1714216"/>
                <a:pt x="1104900" y="1704975"/>
              </a:cubicBezTo>
              <a:cubicBezTo>
                <a:pt x="1116953" y="1694644"/>
                <a:pt x="1122250" y="1678100"/>
                <a:pt x="1133475" y="1666875"/>
              </a:cubicBezTo>
              <a:cubicBezTo>
                <a:pt x="1141570" y="1658780"/>
                <a:pt x="1153955" y="1655920"/>
                <a:pt x="1162050" y="1647825"/>
              </a:cubicBezTo>
              <a:cubicBezTo>
                <a:pt x="1250950" y="1558925"/>
                <a:pt x="1127125" y="1657350"/>
                <a:pt x="1228725" y="1581150"/>
              </a:cubicBezTo>
              <a:cubicBezTo>
                <a:pt x="1235075" y="1568450"/>
                <a:pt x="1239522" y="1554604"/>
                <a:pt x="1247775" y="1543050"/>
              </a:cubicBezTo>
              <a:cubicBezTo>
                <a:pt x="1255605" y="1532089"/>
                <a:pt x="1269211" y="1525898"/>
                <a:pt x="1276350" y="1514475"/>
              </a:cubicBezTo>
              <a:cubicBezTo>
                <a:pt x="1285412" y="1499976"/>
                <a:pt x="1285462" y="1480763"/>
                <a:pt x="1295400" y="1466850"/>
              </a:cubicBezTo>
              <a:cubicBezTo>
                <a:pt x="1302054" y="1457535"/>
                <a:pt x="1315880" y="1455895"/>
                <a:pt x="1323975" y="1447800"/>
              </a:cubicBezTo>
              <a:cubicBezTo>
                <a:pt x="1335200" y="1436575"/>
                <a:pt x="1343025" y="1422400"/>
                <a:pt x="1352550" y="1409700"/>
              </a:cubicBezTo>
              <a:cubicBezTo>
                <a:pt x="1375939" y="1316145"/>
                <a:pt x="1342077" y="1430645"/>
                <a:pt x="1390650" y="1333500"/>
              </a:cubicBezTo>
              <a:cubicBezTo>
                <a:pt x="1396504" y="1321791"/>
                <a:pt x="1395578" y="1307657"/>
                <a:pt x="1400175" y="1295400"/>
              </a:cubicBezTo>
              <a:cubicBezTo>
                <a:pt x="1405161" y="1282105"/>
                <a:pt x="1412875" y="1270000"/>
                <a:pt x="1419225" y="1257300"/>
              </a:cubicBezTo>
              <a:cubicBezTo>
                <a:pt x="1426515" y="1220851"/>
                <a:pt x="1436215" y="1164499"/>
                <a:pt x="1447800" y="1123950"/>
              </a:cubicBezTo>
              <a:cubicBezTo>
                <a:pt x="1450558" y="1114296"/>
                <a:pt x="1453370" y="1104603"/>
                <a:pt x="1457325" y="1095375"/>
              </a:cubicBezTo>
              <a:cubicBezTo>
                <a:pt x="1473681" y="1057211"/>
                <a:pt x="1476965" y="1064441"/>
                <a:pt x="1485900" y="1028700"/>
              </a:cubicBezTo>
              <a:cubicBezTo>
                <a:pt x="1489827" y="1012994"/>
                <a:pt x="1489741" y="996234"/>
                <a:pt x="1495425" y="981075"/>
              </a:cubicBezTo>
              <a:cubicBezTo>
                <a:pt x="1499445" y="970356"/>
                <a:pt x="1508795" y="962439"/>
                <a:pt x="1514475" y="952500"/>
              </a:cubicBezTo>
              <a:cubicBezTo>
                <a:pt x="1521520" y="940172"/>
                <a:pt x="1527932" y="927451"/>
                <a:pt x="1533525" y="914400"/>
              </a:cubicBezTo>
              <a:cubicBezTo>
                <a:pt x="1537480" y="905172"/>
                <a:pt x="1540292" y="895479"/>
                <a:pt x="1543050" y="885825"/>
              </a:cubicBezTo>
              <a:cubicBezTo>
                <a:pt x="1546646" y="873238"/>
                <a:pt x="1546721" y="859434"/>
                <a:pt x="1552575" y="847725"/>
              </a:cubicBezTo>
              <a:cubicBezTo>
                <a:pt x="1562814" y="827247"/>
                <a:pt x="1582172" y="811833"/>
                <a:pt x="1590675" y="790575"/>
              </a:cubicBezTo>
              <a:cubicBezTo>
                <a:pt x="1614728" y="730443"/>
                <a:pt x="1597635" y="755040"/>
                <a:pt x="1638300" y="714375"/>
              </a:cubicBezTo>
              <a:cubicBezTo>
                <a:pt x="1655633" y="645041"/>
                <a:pt x="1638181" y="707559"/>
                <a:pt x="1666875" y="628650"/>
              </a:cubicBezTo>
              <a:cubicBezTo>
                <a:pt x="1673737" y="609779"/>
                <a:pt x="1678015" y="589957"/>
                <a:pt x="1685925" y="571500"/>
              </a:cubicBezTo>
              <a:cubicBezTo>
                <a:pt x="1697112" y="545398"/>
                <a:pt x="1715045" y="522241"/>
                <a:pt x="1724025" y="495300"/>
              </a:cubicBezTo>
              <a:lnTo>
                <a:pt x="1752600" y="409575"/>
              </a:lnTo>
              <a:cubicBezTo>
                <a:pt x="1755775" y="400050"/>
                <a:pt x="1759690" y="390740"/>
                <a:pt x="1762125" y="381000"/>
              </a:cubicBezTo>
              <a:cubicBezTo>
                <a:pt x="1790829" y="266182"/>
                <a:pt x="1767855" y="343496"/>
                <a:pt x="1800225" y="257175"/>
              </a:cubicBezTo>
              <a:cubicBezTo>
                <a:pt x="1803750" y="247774"/>
                <a:pt x="1805260" y="237580"/>
                <a:pt x="1809750" y="228600"/>
              </a:cubicBezTo>
              <a:cubicBezTo>
                <a:pt x="1814870" y="218361"/>
                <a:pt x="1823120" y="209964"/>
                <a:pt x="1828800" y="200025"/>
              </a:cubicBezTo>
              <a:cubicBezTo>
                <a:pt x="1835845" y="187697"/>
                <a:pt x="1840325" y="173966"/>
                <a:pt x="1847850" y="161925"/>
              </a:cubicBezTo>
              <a:cubicBezTo>
                <a:pt x="1858340" y="145141"/>
                <a:pt x="1887403" y="107819"/>
                <a:pt x="1905000" y="95250"/>
              </a:cubicBezTo>
              <a:cubicBezTo>
                <a:pt x="1916554" y="86997"/>
                <a:pt x="1930400" y="82550"/>
                <a:pt x="1943100" y="76200"/>
              </a:cubicBezTo>
              <a:cubicBezTo>
                <a:pt x="1946275" y="66675"/>
                <a:pt x="1944785" y="53897"/>
                <a:pt x="1952625" y="47625"/>
              </a:cubicBezTo>
              <a:cubicBezTo>
                <a:pt x="1962847" y="39447"/>
                <a:pt x="1978468" y="42697"/>
                <a:pt x="1990725" y="38100"/>
              </a:cubicBezTo>
              <a:cubicBezTo>
                <a:pt x="2018347" y="27742"/>
                <a:pt x="2033713" y="15791"/>
                <a:pt x="2057400" y="0"/>
              </a:cubicBezTo>
              <a:cubicBezTo>
                <a:pt x="2098064" y="6777"/>
                <a:pt x="2133964" y="9707"/>
                <a:pt x="2171700" y="28575"/>
              </a:cubicBezTo>
              <a:cubicBezTo>
                <a:pt x="2192178" y="38814"/>
                <a:pt x="2209800" y="53975"/>
                <a:pt x="2228850" y="66675"/>
              </a:cubicBezTo>
              <a:cubicBezTo>
                <a:pt x="2235200" y="76200"/>
                <a:pt x="2239106" y="87921"/>
                <a:pt x="2247900" y="95250"/>
              </a:cubicBezTo>
              <a:cubicBezTo>
                <a:pt x="2269247" y="113039"/>
                <a:pt x="2298466" y="117416"/>
                <a:pt x="2324100" y="123825"/>
              </a:cubicBezTo>
              <a:cubicBezTo>
                <a:pt x="2336800" y="117475"/>
                <a:pt x="2350024" y="112080"/>
                <a:pt x="2362200" y="104775"/>
              </a:cubicBezTo>
              <a:cubicBezTo>
                <a:pt x="2381833" y="92995"/>
                <a:pt x="2419350" y="66675"/>
                <a:pt x="2419350" y="66675"/>
              </a:cubicBezTo>
              <a:cubicBezTo>
                <a:pt x="2432050" y="69850"/>
                <a:pt x="2448193" y="66943"/>
                <a:pt x="2457450" y="76200"/>
              </a:cubicBezTo>
              <a:cubicBezTo>
                <a:pt x="2466707" y="85457"/>
                <a:pt x="2463125" y="101788"/>
                <a:pt x="2466975" y="114300"/>
              </a:cubicBezTo>
              <a:cubicBezTo>
                <a:pt x="2475833" y="143089"/>
                <a:pt x="2486025" y="171450"/>
                <a:pt x="2495550" y="200025"/>
              </a:cubicBezTo>
              <a:cubicBezTo>
                <a:pt x="2498725" y="209550"/>
                <a:pt x="2502317" y="218946"/>
                <a:pt x="2505075" y="228600"/>
              </a:cubicBezTo>
              <a:cubicBezTo>
                <a:pt x="2511425" y="250825"/>
                <a:pt x="2518043" y="272975"/>
                <a:pt x="2524125" y="295275"/>
              </a:cubicBezTo>
              <a:cubicBezTo>
                <a:pt x="2527569" y="307905"/>
                <a:pt x="2529247" y="321047"/>
                <a:pt x="2533650" y="333375"/>
              </a:cubicBezTo>
              <a:cubicBezTo>
                <a:pt x="2545151" y="365579"/>
                <a:pt x="2560936" y="396184"/>
                <a:pt x="2571750" y="428625"/>
              </a:cubicBezTo>
              <a:cubicBezTo>
                <a:pt x="2578100" y="447675"/>
                <a:pt x="2576601" y="471576"/>
                <a:pt x="2590800" y="485775"/>
              </a:cubicBezTo>
              <a:lnTo>
                <a:pt x="2647950" y="542925"/>
              </a:lnTo>
              <a:cubicBezTo>
                <a:pt x="2654451" y="562429"/>
                <a:pt x="2659481" y="585872"/>
                <a:pt x="2676525" y="600075"/>
              </a:cubicBezTo>
              <a:cubicBezTo>
                <a:pt x="2687433" y="609165"/>
                <a:pt x="2702297" y="612080"/>
                <a:pt x="2714625" y="619125"/>
              </a:cubicBezTo>
              <a:cubicBezTo>
                <a:pt x="2724564" y="624805"/>
                <a:pt x="2734406" y="630846"/>
                <a:pt x="2743200" y="638175"/>
              </a:cubicBezTo>
              <a:cubicBezTo>
                <a:pt x="2753548" y="646799"/>
                <a:pt x="2759727" y="660726"/>
                <a:pt x="2771775" y="666750"/>
              </a:cubicBezTo>
              <a:cubicBezTo>
                <a:pt x="2786255" y="673990"/>
                <a:pt x="2803694" y="672348"/>
                <a:pt x="2819400" y="676275"/>
              </a:cubicBezTo>
              <a:cubicBezTo>
                <a:pt x="2829140" y="678710"/>
                <a:pt x="2838450" y="682625"/>
                <a:pt x="2847975" y="685800"/>
              </a:cubicBezTo>
              <a:cubicBezTo>
                <a:pt x="2867799" y="765094"/>
                <a:pt x="2843661" y="686696"/>
                <a:pt x="2876550" y="752475"/>
              </a:cubicBezTo>
              <a:cubicBezTo>
                <a:pt x="2912913" y="825201"/>
                <a:pt x="2845554" y="727022"/>
                <a:pt x="2914650" y="819150"/>
              </a:cubicBezTo>
              <a:cubicBezTo>
                <a:pt x="2941902" y="900906"/>
                <a:pt x="2900173" y="770768"/>
                <a:pt x="2933700" y="904875"/>
              </a:cubicBezTo>
              <a:cubicBezTo>
                <a:pt x="2938570" y="924356"/>
                <a:pt x="2946400" y="942975"/>
                <a:pt x="2952750" y="962025"/>
              </a:cubicBezTo>
              <a:cubicBezTo>
                <a:pt x="2955925" y="971550"/>
                <a:pt x="2956706" y="982246"/>
                <a:pt x="2962275" y="990600"/>
              </a:cubicBezTo>
              <a:lnTo>
                <a:pt x="2981325" y="1019175"/>
              </a:lnTo>
              <a:cubicBezTo>
                <a:pt x="2983020" y="1027651"/>
                <a:pt x="2995331" y="1093130"/>
                <a:pt x="3000375" y="1104900"/>
              </a:cubicBezTo>
              <a:cubicBezTo>
                <a:pt x="3004884" y="1115422"/>
                <a:pt x="3014305" y="1123236"/>
                <a:pt x="3019425" y="1133475"/>
              </a:cubicBezTo>
              <a:cubicBezTo>
                <a:pt x="3023915" y="1142455"/>
                <a:pt x="3023381" y="1153696"/>
                <a:pt x="3028950" y="1162050"/>
              </a:cubicBezTo>
              <a:cubicBezTo>
                <a:pt x="3036422" y="1173258"/>
                <a:pt x="3048000" y="1181100"/>
                <a:pt x="3057525" y="1190625"/>
              </a:cubicBezTo>
              <a:cubicBezTo>
                <a:pt x="3085078" y="1259508"/>
                <a:pt x="3067091" y="1224024"/>
                <a:pt x="3114675" y="1295400"/>
              </a:cubicBezTo>
              <a:lnTo>
                <a:pt x="3114675" y="1295400"/>
              </a:lnTo>
              <a:cubicBezTo>
                <a:pt x="3121025" y="1308100"/>
                <a:pt x="3128132" y="1320449"/>
                <a:pt x="3133725" y="1333500"/>
              </a:cubicBezTo>
              <a:cubicBezTo>
                <a:pt x="3153258" y="1379077"/>
                <a:pt x="3130426" y="1354501"/>
                <a:pt x="3171825" y="1409700"/>
              </a:cubicBezTo>
              <a:cubicBezTo>
                <a:pt x="3179907" y="1420476"/>
                <a:pt x="3190875" y="1428750"/>
                <a:pt x="3200400" y="1438275"/>
              </a:cubicBezTo>
              <a:cubicBezTo>
                <a:pt x="3212474" y="1474496"/>
                <a:pt x="3227591" y="1529889"/>
                <a:pt x="3267075" y="1543050"/>
              </a:cubicBezTo>
              <a:lnTo>
                <a:pt x="3295650" y="1552575"/>
              </a:lnTo>
              <a:cubicBezTo>
                <a:pt x="3317875" y="1568450"/>
                <a:pt x="3337526" y="1588755"/>
                <a:pt x="3362325" y="1600200"/>
              </a:cubicBezTo>
              <a:cubicBezTo>
                <a:pt x="3379860" y="1608293"/>
                <a:pt x="3400977" y="1604176"/>
                <a:pt x="3419475" y="1609725"/>
              </a:cubicBezTo>
              <a:cubicBezTo>
                <a:pt x="3433075" y="1613805"/>
                <a:pt x="3445247" y="1621730"/>
                <a:pt x="3457575" y="1628775"/>
              </a:cubicBezTo>
              <a:cubicBezTo>
                <a:pt x="3484504" y="1644163"/>
                <a:pt x="3554826" y="1699959"/>
                <a:pt x="3562350" y="1704975"/>
              </a:cubicBezTo>
              <a:cubicBezTo>
                <a:pt x="3571875" y="1711325"/>
                <a:pt x="3580686" y="1718905"/>
                <a:pt x="3590925" y="1724025"/>
              </a:cubicBezTo>
              <a:cubicBezTo>
                <a:pt x="3612552" y="1734839"/>
                <a:pt x="3635587" y="1742594"/>
                <a:pt x="3657600" y="1752600"/>
              </a:cubicBezTo>
              <a:cubicBezTo>
                <a:pt x="3670526" y="1758476"/>
                <a:pt x="3682649" y="1766057"/>
                <a:pt x="3695700" y="1771650"/>
              </a:cubicBezTo>
              <a:cubicBezTo>
                <a:pt x="3704928" y="1775605"/>
                <a:pt x="3715047" y="1777220"/>
                <a:pt x="3724275" y="1781175"/>
              </a:cubicBezTo>
              <a:cubicBezTo>
                <a:pt x="3737326" y="1786768"/>
                <a:pt x="3749400" y="1794458"/>
                <a:pt x="3762375" y="1800225"/>
              </a:cubicBezTo>
              <a:cubicBezTo>
                <a:pt x="3777999" y="1807169"/>
                <a:pt x="3794476" y="1812110"/>
                <a:pt x="3810000" y="1819275"/>
              </a:cubicBezTo>
              <a:cubicBezTo>
                <a:pt x="3913892" y="1867225"/>
                <a:pt x="3851282" y="1848645"/>
                <a:pt x="3924300" y="1866900"/>
              </a:cubicBezTo>
              <a:cubicBezTo>
                <a:pt x="3974751" y="1900534"/>
                <a:pt x="3935274" y="1880152"/>
                <a:pt x="4019550" y="1895475"/>
              </a:cubicBezTo>
              <a:cubicBezTo>
                <a:pt x="4126996" y="1915011"/>
                <a:pt x="3952166" y="1905000"/>
                <a:pt x="4181475" y="1905000"/>
              </a:cubicBezTo>
            </a:path>
          </a:pathLst>
        </a:cu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504825</xdr:colOff>
      <xdr:row>19</xdr:row>
      <xdr:rowOff>95250</xdr:rowOff>
    </xdr:from>
    <xdr:to>
      <xdr:col>13</xdr:col>
      <xdr:colOff>323850</xdr:colOff>
      <xdr:row>30</xdr:row>
      <xdr:rowOff>171450</xdr:rowOff>
    </xdr:to>
    <xdr:sp macro="" textlink="">
      <xdr:nvSpPr>
        <xdr:cNvPr id="27" name="Freeform: Shape 26">
          <a:extLst>
            <a:ext uri="{FF2B5EF4-FFF2-40B4-BE49-F238E27FC236}">
              <a16:creationId xmlns:a16="http://schemas.microsoft.com/office/drawing/2014/main" id="{18B91D10-158F-0340-21D6-D3B9CC3AE12E}"/>
            </a:ext>
          </a:extLst>
        </xdr:cNvPr>
        <xdr:cNvSpPr/>
      </xdr:nvSpPr>
      <xdr:spPr>
        <a:xfrm>
          <a:off x="4162425" y="3533775"/>
          <a:ext cx="4086225" cy="2066925"/>
        </a:xfrm>
        <a:custGeom>
          <a:avLst/>
          <a:gdLst>
            <a:gd name="connsiteX0" fmla="*/ 0 w 4086225"/>
            <a:gd name="connsiteY0" fmla="*/ 2009775 h 2066925"/>
            <a:gd name="connsiteX1" fmla="*/ 342900 w 4086225"/>
            <a:gd name="connsiteY1" fmla="*/ 1962150 h 2066925"/>
            <a:gd name="connsiteX2" fmla="*/ 466725 w 4086225"/>
            <a:gd name="connsiteY2" fmla="*/ 1895475 h 2066925"/>
            <a:gd name="connsiteX3" fmla="*/ 504825 w 4086225"/>
            <a:gd name="connsiteY3" fmla="*/ 1885950 h 2066925"/>
            <a:gd name="connsiteX4" fmla="*/ 552450 w 4086225"/>
            <a:gd name="connsiteY4" fmla="*/ 1857375 h 2066925"/>
            <a:gd name="connsiteX5" fmla="*/ 581025 w 4086225"/>
            <a:gd name="connsiteY5" fmla="*/ 1847850 h 2066925"/>
            <a:gd name="connsiteX6" fmla="*/ 619125 w 4086225"/>
            <a:gd name="connsiteY6" fmla="*/ 1819275 h 2066925"/>
            <a:gd name="connsiteX7" fmla="*/ 666750 w 4086225"/>
            <a:gd name="connsiteY7" fmla="*/ 1781175 h 2066925"/>
            <a:gd name="connsiteX8" fmla="*/ 733425 w 4086225"/>
            <a:gd name="connsiteY8" fmla="*/ 1695450 h 2066925"/>
            <a:gd name="connsiteX9" fmla="*/ 771525 w 4086225"/>
            <a:gd name="connsiteY9" fmla="*/ 1657350 h 2066925"/>
            <a:gd name="connsiteX10" fmla="*/ 809625 w 4086225"/>
            <a:gd name="connsiteY10" fmla="*/ 1628775 h 2066925"/>
            <a:gd name="connsiteX11" fmla="*/ 857250 w 4086225"/>
            <a:gd name="connsiteY11" fmla="*/ 1581150 h 2066925"/>
            <a:gd name="connsiteX12" fmla="*/ 895350 w 4086225"/>
            <a:gd name="connsiteY12" fmla="*/ 1514475 h 2066925"/>
            <a:gd name="connsiteX13" fmla="*/ 904875 w 4086225"/>
            <a:gd name="connsiteY13" fmla="*/ 1485900 h 2066925"/>
            <a:gd name="connsiteX14" fmla="*/ 962025 w 4086225"/>
            <a:gd name="connsiteY14" fmla="*/ 1381125 h 2066925"/>
            <a:gd name="connsiteX15" fmla="*/ 1028700 w 4086225"/>
            <a:gd name="connsiteY15" fmla="*/ 1343025 h 2066925"/>
            <a:gd name="connsiteX16" fmla="*/ 1123950 w 4086225"/>
            <a:gd name="connsiteY16" fmla="*/ 1276350 h 2066925"/>
            <a:gd name="connsiteX17" fmla="*/ 1181100 w 4086225"/>
            <a:gd name="connsiteY17" fmla="*/ 1247775 h 2066925"/>
            <a:gd name="connsiteX18" fmla="*/ 1247775 w 4086225"/>
            <a:gd name="connsiteY18" fmla="*/ 1228725 h 2066925"/>
            <a:gd name="connsiteX19" fmla="*/ 1285875 w 4086225"/>
            <a:gd name="connsiteY19" fmla="*/ 1200150 h 2066925"/>
            <a:gd name="connsiteX20" fmla="*/ 1295400 w 4086225"/>
            <a:gd name="connsiteY20" fmla="*/ 1171575 h 2066925"/>
            <a:gd name="connsiteX21" fmla="*/ 1314450 w 4086225"/>
            <a:gd name="connsiteY21" fmla="*/ 1133475 h 2066925"/>
            <a:gd name="connsiteX22" fmla="*/ 1333500 w 4086225"/>
            <a:gd name="connsiteY22" fmla="*/ 1047750 h 2066925"/>
            <a:gd name="connsiteX23" fmla="*/ 1343025 w 4086225"/>
            <a:gd name="connsiteY23" fmla="*/ 1019175 h 2066925"/>
            <a:gd name="connsiteX24" fmla="*/ 1362075 w 4086225"/>
            <a:gd name="connsiteY24" fmla="*/ 981075 h 2066925"/>
            <a:gd name="connsiteX25" fmla="*/ 1371600 w 4086225"/>
            <a:gd name="connsiteY25" fmla="*/ 933450 h 2066925"/>
            <a:gd name="connsiteX26" fmla="*/ 1390650 w 4086225"/>
            <a:gd name="connsiteY26" fmla="*/ 904875 h 2066925"/>
            <a:gd name="connsiteX27" fmla="*/ 1400175 w 4086225"/>
            <a:gd name="connsiteY27" fmla="*/ 876300 h 2066925"/>
            <a:gd name="connsiteX28" fmla="*/ 1419225 w 4086225"/>
            <a:gd name="connsiteY28" fmla="*/ 847725 h 2066925"/>
            <a:gd name="connsiteX29" fmla="*/ 1438275 w 4086225"/>
            <a:gd name="connsiteY29" fmla="*/ 809625 h 2066925"/>
            <a:gd name="connsiteX30" fmla="*/ 1495425 w 4086225"/>
            <a:gd name="connsiteY30" fmla="*/ 752475 h 2066925"/>
            <a:gd name="connsiteX31" fmla="*/ 1562100 w 4086225"/>
            <a:gd name="connsiteY31" fmla="*/ 685800 h 2066925"/>
            <a:gd name="connsiteX32" fmla="*/ 1609725 w 4086225"/>
            <a:gd name="connsiteY32" fmla="*/ 619125 h 2066925"/>
            <a:gd name="connsiteX33" fmla="*/ 1628775 w 4086225"/>
            <a:gd name="connsiteY33" fmla="*/ 590550 h 2066925"/>
            <a:gd name="connsiteX34" fmla="*/ 1657350 w 4086225"/>
            <a:gd name="connsiteY34" fmla="*/ 571500 h 2066925"/>
            <a:gd name="connsiteX35" fmla="*/ 1724025 w 4086225"/>
            <a:gd name="connsiteY35" fmla="*/ 485775 h 2066925"/>
            <a:gd name="connsiteX36" fmla="*/ 1743075 w 4086225"/>
            <a:gd name="connsiteY36" fmla="*/ 447675 h 2066925"/>
            <a:gd name="connsiteX37" fmla="*/ 1762125 w 4086225"/>
            <a:gd name="connsiteY37" fmla="*/ 419100 h 2066925"/>
            <a:gd name="connsiteX38" fmla="*/ 1809750 w 4086225"/>
            <a:gd name="connsiteY38" fmla="*/ 323850 h 2066925"/>
            <a:gd name="connsiteX39" fmla="*/ 1828800 w 4086225"/>
            <a:gd name="connsiteY39" fmla="*/ 295275 h 2066925"/>
            <a:gd name="connsiteX40" fmla="*/ 1847850 w 4086225"/>
            <a:gd name="connsiteY40" fmla="*/ 247650 h 2066925"/>
            <a:gd name="connsiteX41" fmla="*/ 1866900 w 4086225"/>
            <a:gd name="connsiteY41" fmla="*/ 219075 h 2066925"/>
            <a:gd name="connsiteX42" fmla="*/ 1885950 w 4086225"/>
            <a:gd name="connsiteY42" fmla="*/ 180975 h 2066925"/>
            <a:gd name="connsiteX43" fmla="*/ 1905000 w 4086225"/>
            <a:gd name="connsiteY43" fmla="*/ 152400 h 2066925"/>
            <a:gd name="connsiteX44" fmla="*/ 1924050 w 4086225"/>
            <a:gd name="connsiteY44" fmla="*/ 104775 h 2066925"/>
            <a:gd name="connsiteX45" fmla="*/ 1962150 w 4086225"/>
            <a:gd name="connsiteY45" fmla="*/ 47625 h 2066925"/>
            <a:gd name="connsiteX46" fmla="*/ 1981200 w 4086225"/>
            <a:gd name="connsiteY46" fmla="*/ 19050 h 2066925"/>
            <a:gd name="connsiteX47" fmla="*/ 2009775 w 4086225"/>
            <a:gd name="connsiteY47" fmla="*/ 0 h 2066925"/>
            <a:gd name="connsiteX48" fmla="*/ 2095500 w 4086225"/>
            <a:gd name="connsiteY48" fmla="*/ 9525 h 2066925"/>
            <a:gd name="connsiteX49" fmla="*/ 2162175 w 4086225"/>
            <a:gd name="connsiteY49" fmla="*/ 66675 h 2066925"/>
            <a:gd name="connsiteX50" fmla="*/ 2228850 w 4086225"/>
            <a:gd name="connsiteY50" fmla="*/ 123825 h 2066925"/>
            <a:gd name="connsiteX51" fmla="*/ 2238375 w 4086225"/>
            <a:gd name="connsiteY51" fmla="*/ 152400 h 2066925"/>
            <a:gd name="connsiteX52" fmla="*/ 2286000 w 4086225"/>
            <a:gd name="connsiteY52" fmla="*/ 219075 h 2066925"/>
            <a:gd name="connsiteX53" fmla="*/ 2314575 w 4086225"/>
            <a:gd name="connsiteY53" fmla="*/ 276225 h 2066925"/>
            <a:gd name="connsiteX54" fmla="*/ 2343150 w 4086225"/>
            <a:gd name="connsiteY54" fmla="*/ 323850 h 2066925"/>
            <a:gd name="connsiteX55" fmla="*/ 2362200 w 4086225"/>
            <a:gd name="connsiteY55" fmla="*/ 390525 h 2066925"/>
            <a:gd name="connsiteX56" fmla="*/ 2381250 w 4086225"/>
            <a:gd name="connsiteY56" fmla="*/ 419100 h 2066925"/>
            <a:gd name="connsiteX57" fmla="*/ 2400300 w 4086225"/>
            <a:gd name="connsiteY57" fmla="*/ 457200 h 2066925"/>
            <a:gd name="connsiteX58" fmla="*/ 2419350 w 4086225"/>
            <a:gd name="connsiteY58" fmla="*/ 485775 h 2066925"/>
            <a:gd name="connsiteX59" fmla="*/ 2457450 w 4086225"/>
            <a:gd name="connsiteY59" fmla="*/ 533400 h 2066925"/>
            <a:gd name="connsiteX60" fmla="*/ 2505075 w 4086225"/>
            <a:gd name="connsiteY60" fmla="*/ 590550 h 2066925"/>
            <a:gd name="connsiteX61" fmla="*/ 2543175 w 4086225"/>
            <a:gd name="connsiteY61" fmla="*/ 638175 h 2066925"/>
            <a:gd name="connsiteX62" fmla="*/ 2552700 w 4086225"/>
            <a:gd name="connsiteY62" fmla="*/ 676275 h 2066925"/>
            <a:gd name="connsiteX63" fmla="*/ 2590800 w 4086225"/>
            <a:gd name="connsiteY63" fmla="*/ 733425 h 2066925"/>
            <a:gd name="connsiteX64" fmla="*/ 2657475 w 4086225"/>
            <a:gd name="connsiteY64" fmla="*/ 828675 h 2066925"/>
            <a:gd name="connsiteX65" fmla="*/ 2695575 w 4086225"/>
            <a:gd name="connsiteY65" fmla="*/ 876300 h 2066925"/>
            <a:gd name="connsiteX66" fmla="*/ 2733675 w 4086225"/>
            <a:gd name="connsiteY66" fmla="*/ 923925 h 2066925"/>
            <a:gd name="connsiteX67" fmla="*/ 2752725 w 4086225"/>
            <a:gd name="connsiteY67" fmla="*/ 952500 h 2066925"/>
            <a:gd name="connsiteX68" fmla="*/ 2781300 w 4086225"/>
            <a:gd name="connsiteY68" fmla="*/ 981075 h 2066925"/>
            <a:gd name="connsiteX69" fmla="*/ 2790825 w 4086225"/>
            <a:gd name="connsiteY69" fmla="*/ 1009650 h 2066925"/>
            <a:gd name="connsiteX70" fmla="*/ 2857500 w 4086225"/>
            <a:gd name="connsiteY70" fmla="*/ 1057275 h 2066925"/>
            <a:gd name="connsiteX71" fmla="*/ 2914650 w 4086225"/>
            <a:gd name="connsiteY71" fmla="*/ 1114425 h 2066925"/>
            <a:gd name="connsiteX72" fmla="*/ 2933700 w 4086225"/>
            <a:gd name="connsiteY72" fmla="*/ 1143000 h 2066925"/>
            <a:gd name="connsiteX73" fmla="*/ 2962275 w 4086225"/>
            <a:gd name="connsiteY73" fmla="*/ 1152525 h 2066925"/>
            <a:gd name="connsiteX74" fmla="*/ 2990850 w 4086225"/>
            <a:gd name="connsiteY74" fmla="*/ 1171575 h 2066925"/>
            <a:gd name="connsiteX75" fmla="*/ 3028950 w 4086225"/>
            <a:gd name="connsiteY75" fmla="*/ 1190625 h 2066925"/>
            <a:gd name="connsiteX76" fmla="*/ 3086100 w 4086225"/>
            <a:gd name="connsiteY76" fmla="*/ 1257300 h 2066925"/>
            <a:gd name="connsiteX77" fmla="*/ 3133725 w 4086225"/>
            <a:gd name="connsiteY77" fmla="*/ 1295400 h 2066925"/>
            <a:gd name="connsiteX78" fmla="*/ 3190875 w 4086225"/>
            <a:gd name="connsiteY78" fmla="*/ 1343025 h 2066925"/>
            <a:gd name="connsiteX79" fmla="*/ 3248025 w 4086225"/>
            <a:gd name="connsiteY79" fmla="*/ 1409700 h 2066925"/>
            <a:gd name="connsiteX80" fmla="*/ 3314700 w 4086225"/>
            <a:gd name="connsiteY80" fmla="*/ 1457325 h 2066925"/>
            <a:gd name="connsiteX81" fmla="*/ 3362325 w 4086225"/>
            <a:gd name="connsiteY81" fmla="*/ 1524000 h 2066925"/>
            <a:gd name="connsiteX82" fmla="*/ 3381375 w 4086225"/>
            <a:gd name="connsiteY82" fmla="*/ 1562100 h 2066925"/>
            <a:gd name="connsiteX83" fmla="*/ 3409950 w 4086225"/>
            <a:gd name="connsiteY83" fmla="*/ 1590675 h 2066925"/>
            <a:gd name="connsiteX84" fmla="*/ 3438525 w 4086225"/>
            <a:gd name="connsiteY84" fmla="*/ 1628775 h 2066925"/>
            <a:gd name="connsiteX85" fmla="*/ 3457575 w 4086225"/>
            <a:gd name="connsiteY85" fmla="*/ 1657350 h 2066925"/>
            <a:gd name="connsiteX86" fmla="*/ 3552825 w 4086225"/>
            <a:gd name="connsiteY86" fmla="*/ 1714500 h 2066925"/>
            <a:gd name="connsiteX87" fmla="*/ 3609975 w 4086225"/>
            <a:gd name="connsiteY87" fmla="*/ 1762125 h 2066925"/>
            <a:gd name="connsiteX88" fmla="*/ 3648075 w 4086225"/>
            <a:gd name="connsiteY88" fmla="*/ 1771650 h 2066925"/>
            <a:gd name="connsiteX89" fmla="*/ 3714750 w 4086225"/>
            <a:gd name="connsiteY89" fmla="*/ 1838325 h 2066925"/>
            <a:gd name="connsiteX90" fmla="*/ 3743325 w 4086225"/>
            <a:gd name="connsiteY90" fmla="*/ 1847850 h 2066925"/>
            <a:gd name="connsiteX91" fmla="*/ 3762375 w 4086225"/>
            <a:gd name="connsiteY91" fmla="*/ 1876425 h 2066925"/>
            <a:gd name="connsiteX92" fmla="*/ 3790950 w 4086225"/>
            <a:gd name="connsiteY92" fmla="*/ 1885950 h 2066925"/>
            <a:gd name="connsiteX93" fmla="*/ 3848100 w 4086225"/>
            <a:gd name="connsiteY93" fmla="*/ 1924050 h 2066925"/>
            <a:gd name="connsiteX94" fmla="*/ 3895725 w 4086225"/>
            <a:gd name="connsiteY94" fmla="*/ 1962150 h 2066925"/>
            <a:gd name="connsiteX95" fmla="*/ 3971925 w 4086225"/>
            <a:gd name="connsiteY95" fmla="*/ 2019300 h 2066925"/>
            <a:gd name="connsiteX96" fmla="*/ 4019550 w 4086225"/>
            <a:gd name="connsiteY96" fmla="*/ 2038350 h 2066925"/>
            <a:gd name="connsiteX97" fmla="*/ 4086225 w 4086225"/>
            <a:gd name="connsiteY97" fmla="*/ 2066925 h 20669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</a:cxnLst>
          <a:rect l="l" t="t" r="r" b="b"/>
          <a:pathLst>
            <a:path w="4086225" h="2066925">
              <a:moveTo>
                <a:pt x="0" y="2009775"/>
              </a:moveTo>
              <a:cubicBezTo>
                <a:pt x="299217" y="1978822"/>
                <a:pt x="187220" y="2006630"/>
                <a:pt x="342900" y="1962150"/>
              </a:cubicBezTo>
              <a:cubicBezTo>
                <a:pt x="371682" y="1944881"/>
                <a:pt x="440222" y="1902101"/>
                <a:pt x="466725" y="1895475"/>
              </a:cubicBezTo>
              <a:lnTo>
                <a:pt x="504825" y="1885950"/>
              </a:lnTo>
              <a:cubicBezTo>
                <a:pt x="520700" y="1876425"/>
                <a:pt x="535891" y="1865654"/>
                <a:pt x="552450" y="1857375"/>
              </a:cubicBezTo>
              <a:cubicBezTo>
                <a:pt x="561430" y="1852885"/>
                <a:pt x="572308" y="1852831"/>
                <a:pt x="581025" y="1847850"/>
              </a:cubicBezTo>
              <a:cubicBezTo>
                <a:pt x="594808" y="1839974"/>
                <a:pt x="606425" y="1828800"/>
                <a:pt x="619125" y="1819275"/>
              </a:cubicBezTo>
              <a:cubicBezTo>
                <a:pt x="644356" y="1743583"/>
                <a:pt x="603829" y="1838376"/>
                <a:pt x="666750" y="1781175"/>
              </a:cubicBezTo>
              <a:cubicBezTo>
                <a:pt x="693536" y="1756824"/>
                <a:pt x="707827" y="1721048"/>
                <a:pt x="733425" y="1695450"/>
              </a:cubicBezTo>
              <a:cubicBezTo>
                <a:pt x="746125" y="1682750"/>
                <a:pt x="758008" y="1669177"/>
                <a:pt x="771525" y="1657350"/>
              </a:cubicBezTo>
              <a:cubicBezTo>
                <a:pt x="783472" y="1646896"/>
                <a:pt x="798400" y="1640000"/>
                <a:pt x="809625" y="1628775"/>
              </a:cubicBezTo>
              <a:cubicBezTo>
                <a:pt x="873125" y="1565275"/>
                <a:pt x="781050" y="1631950"/>
                <a:pt x="857250" y="1581150"/>
              </a:cubicBezTo>
              <a:cubicBezTo>
                <a:pt x="879089" y="1515632"/>
                <a:pt x="849218" y="1595206"/>
                <a:pt x="895350" y="1514475"/>
              </a:cubicBezTo>
              <a:cubicBezTo>
                <a:pt x="900331" y="1505758"/>
                <a:pt x="900797" y="1495075"/>
                <a:pt x="904875" y="1485900"/>
              </a:cubicBezTo>
              <a:cubicBezTo>
                <a:pt x="912233" y="1469343"/>
                <a:pt x="948131" y="1397335"/>
                <a:pt x="962025" y="1381125"/>
              </a:cubicBezTo>
              <a:cubicBezTo>
                <a:pt x="974125" y="1367008"/>
                <a:pt x="1015449" y="1351307"/>
                <a:pt x="1028700" y="1343025"/>
              </a:cubicBezTo>
              <a:cubicBezTo>
                <a:pt x="1076486" y="1313159"/>
                <a:pt x="1066038" y="1305306"/>
                <a:pt x="1123950" y="1276350"/>
              </a:cubicBezTo>
              <a:cubicBezTo>
                <a:pt x="1143000" y="1266825"/>
                <a:pt x="1161637" y="1256425"/>
                <a:pt x="1181100" y="1247775"/>
              </a:cubicBezTo>
              <a:cubicBezTo>
                <a:pt x="1198669" y="1239967"/>
                <a:pt x="1230477" y="1233049"/>
                <a:pt x="1247775" y="1228725"/>
              </a:cubicBezTo>
              <a:cubicBezTo>
                <a:pt x="1260475" y="1219200"/>
                <a:pt x="1275712" y="1212346"/>
                <a:pt x="1285875" y="1200150"/>
              </a:cubicBezTo>
              <a:cubicBezTo>
                <a:pt x="1292303" y="1192437"/>
                <a:pt x="1291445" y="1180803"/>
                <a:pt x="1295400" y="1171575"/>
              </a:cubicBezTo>
              <a:cubicBezTo>
                <a:pt x="1300993" y="1158524"/>
                <a:pt x="1308100" y="1146175"/>
                <a:pt x="1314450" y="1133475"/>
              </a:cubicBezTo>
              <a:cubicBezTo>
                <a:pt x="1320997" y="1100739"/>
                <a:pt x="1324532" y="1079137"/>
                <a:pt x="1333500" y="1047750"/>
              </a:cubicBezTo>
              <a:cubicBezTo>
                <a:pt x="1336258" y="1038096"/>
                <a:pt x="1339070" y="1028403"/>
                <a:pt x="1343025" y="1019175"/>
              </a:cubicBezTo>
              <a:cubicBezTo>
                <a:pt x="1348618" y="1006124"/>
                <a:pt x="1355725" y="993775"/>
                <a:pt x="1362075" y="981075"/>
              </a:cubicBezTo>
              <a:cubicBezTo>
                <a:pt x="1365250" y="965200"/>
                <a:pt x="1365916" y="948609"/>
                <a:pt x="1371600" y="933450"/>
              </a:cubicBezTo>
              <a:cubicBezTo>
                <a:pt x="1375620" y="922731"/>
                <a:pt x="1385530" y="915114"/>
                <a:pt x="1390650" y="904875"/>
              </a:cubicBezTo>
              <a:cubicBezTo>
                <a:pt x="1395140" y="895895"/>
                <a:pt x="1395685" y="885280"/>
                <a:pt x="1400175" y="876300"/>
              </a:cubicBezTo>
              <a:cubicBezTo>
                <a:pt x="1405295" y="866061"/>
                <a:pt x="1413545" y="857664"/>
                <a:pt x="1419225" y="847725"/>
              </a:cubicBezTo>
              <a:cubicBezTo>
                <a:pt x="1426270" y="835397"/>
                <a:pt x="1429405" y="820713"/>
                <a:pt x="1438275" y="809625"/>
              </a:cubicBezTo>
              <a:cubicBezTo>
                <a:pt x="1455105" y="788588"/>
                <a:pt x="1479261" y="774028"/>
                <a:pt x="1495425" y="752475"/>
              </a:cubicBezTo>
              <a:cubicBezTo>
                <a:pt x="1533525" y="701675"/>
                <a:pt x="1511300" y="723900"/>
                <a:pt x="1562100" y="685800"/>
              </a:cubicBezTo>
              <a:cubicBezTo>
                <a:pt x="1579602" y="633295"/>
                <a:pt x="1560416" y="676652"/>
                <a:pt x="1609725" y="619125"/>
              </a:cubicBezTo>
              <a:cubicBezTo>
                <a:pt x="1617175" y="610433"/>
                <a:pt x="1620680" y="598645"/>
                <a:pt x="1628775" y="590550"/>
              </a:cubicBezTo>
              <a:cubicBezTo>
                <a:pt x="1636870" y="582455"/>
                <a:pt x="1648556" y="578829"/>
                <a:pt x="1657350" y="571500"/>
              </a:cubicBezTo>
              <a:cubicBezTo>
                <a:pt x="1684229" y="549101"/>
                <a:pt x="1708853" y="516119"/>
                <a:pt x="1724025" y="485775"/>
              </a:cubicBezTo>
              <a:cubicBezTo>
                <a:pt x="1730375" y="473075"/>
                <a:pt x="1736030" y="460003"/>
                <a:pt x="1743075" y="447675"/>
              </a:cubicBezTo>
              <a:cubicBezTo>
                <a:pt x="1748755" y="437736"/>
                <a:pt x="1756698" y="429179"/>
                <a:pt x="1762125" y="419100"/>
              </a:cubicBezTo>
              <a:cubicBezTo>
                <a:pt x="1778954" y="387845"/>
                <a:pt x="1790059" y="353386"/>
                <a:pt x="1809750" y="323850"/>
              </a:cubicBezTo>
              <a:cubicBezTo>
                <a:pt x="1816100" y="314325"/>
                <a:pt x="1823680" y="305514"/>
                <a:pt x="1828800" y="295275"/>
              </a:cubicBezTo>
              <a:cubicBezTo>
                <a:pt x="1836446" y="279982"/>
                <a:pt x="1840204" y="262943"/>
                <a:pt x="1847850" y="247650"/>
              </a:cubicBezTo>
              <a:cubicBezTo>
                <a:pt x="1852970" y="237411"/>
                <a:pt x="1861220" y="229014"/>
                <a:pt x="1866900" y="219075"/>
              </a:cubicBezTo>
              <a:cubicBezTo>
                <a:pt x="1873945" y="206747"/>
                <a:pt x="1878905" y="193303"/>
                <a:pt x="1885950" y="180975"/>
              </a:cubicBezTo>
              <a:cubicBezTo>
                <a:pt x="1891630" y="171036"/>
                <a:pt x="1899880" y="162639"/>
                <a:pt x="1905000" y="152400"/>
              </a:cubicBezTo>
              <a:cubicBezTo>
                <a:pt x="1912646" y="137107"/>
                <a:pt x="1915863" y="119785"/>
                <a:pt x="1924050" y="104775"/>
              </a:cubicBezTo>
              <a:cubicBezTo>
                <a:pt x="1935013" y="84675"/>
                <a:pt x="1949450" y="66675"/>
                <a:pt x="1962150" y="47625"/>
              </a:cubicBezTo>
              <a:cubicBezTo>
                <a:pt x="1968500" y="38100"/>
                <a:pt x="1971675" y="25400"/>
                <a:pt x="1981200" y="19050"/>
              </a:cubicBezTo>
              <a:lnTo>
                <a:pt x="2009775" y="0"/>
              </a:lnTo>
              <a:cubicBezTo>
                <a:pt x="2038350" y="3175"/>
                <a:pt x="2067608" y="2552"/>
                <a:pt x="2095500" y="9525"/>
              </a:cubicBezTo>
              <a:cubicBezTo>
                <a:pt x="2116081" y="14670"/>
                <a:pt x="2151969" y="57927"/>
                <a:pt x="2162175" y="66675"/>
              </a:cubicBezTo>
              <a:cubicBezTo>
                <a:pt x="2263719" y="153713"/>
                <a:pt x="2091618" y="-13407"/>
                <a:pt x="2228850" y="123825"/>
              </a:cubicBezTo>
              <a:cubicBezTo>
                <a:pt x="2232025" y="133350"/>
                <a:pt x="2233885" y="143420"/>
                <a:pt x="2238375" y="152400"/>
              </a:cubicBezTo>
              <a:cubicBezTo>
                <a:pt x="2250006" y="175662"/>
                <a:pt x="2273057" y="197503"/>
                <a:pt x="2286000" y="219075"/>
              </a:cubicBezTo>
              <a:cubicBezTo>
                <a:pt x="2296958" y="237338"/>
                <a:pt x="2304376" y="257527"/>
                <a:pt x="2314575" y="276225"/>
              </a:cubicBezTo>
              <a:cubicBezTo>
                <a:pt x="2323440" y="292478"/>
                <a:pt x="2333625" y="307975"/>
                <a:pt x="2343150" y="323850"/>
              </a:cubicBezTo>
              <a:cubicBezTo>
                <a:pt x="2346202" y="336057"/>
                <a:pt x="2355368" y="376860"/>
                <a:pt x="2362200" y="390525"/>
              </a:cubicBezTo>
              <a:cubicBezTo>
                <a:pt x="2367320" y="400764"/>
                <a:pt x="2375570" y="409161"/>
                <a:pt x="2381250" y="419100"/>
              </a:cubicBezTo>
              <a:cubicBezTo>
                <a:pt x="2388295" y="431428"/>
                <a:pt x="2393255" y="444872"/>
                <a:pt x="2400300" y="457200"/>
              </a:cubicBezTo>
              <a:cubicBezTo>
                <a:pt x="2405980" y="467139"/>
                <a:pt x="2414230" y="475536"/>
                <a:pt x="2419350" y="485775"/>
              </a:cubicBezTo>
              <a:cubicBezTo>
                <a:pt x="2442354" y="531783"/>
                <a:pt x="2409280" y="501287"/>
                <a:pt x="2457450" y="533400"/>
              </a:cubicBezTo>
              <a:cubicBezTo>
                <a:pt x="2479289" y="598918"/>
                <a:pt x="2447410" y="521352"/>
                <a:pt x="2505075" y="590550"/>
              </a:cubicBezTo>
              <a:cubicBezTo>
                <a:pt x="2562585" y="659562"/>
                <a:pt x="2455663" y="579833"/>
                <a:pt x="2543175" y="638175"/>
              </a:cubicBezTo>
              <a:cubicBezTo>
                <a:pt x="2546350" y="650875"/>
                <a:pt x="2546846" y="664566"/>
                <a:pt x="2552700" y="676275"/>
              </a:cubicBezTo>
              <a:cubicBezTo>
                <a:pt x="2562939" y="696753"/>
                <a:pt x="2579020" y="713792"/>
                <a:pt x="2590800" y="733425"/>
              </a:cubicBezTo>
              <a:cubicBezTo>
                <a:pt x="2629835" y="798483"/>
                <a:pt x="2607810" y="766594"/>
                <a:pt x="2657475" y="828675"/>
              </a:cubicBezTo>
              <a:cubicBezTo>
                <a:pt x="2681416" y="900499"/>
                <a:pt x="2646336" y="814752"/>
                <a:pt x="2695575" y="876300"/>
              </a:cubicBezTo>
              <a:cubicBezTo>
                <a:pt x="2748155" y="942025"/>
                <a:pt x="2651783" y="869330"/>
                <a:pt x="2733675" y="923925"/>
              </a:cubicBezTo>
              <a:cubicBezTo>
                <a:pt x="2740025" y="933450"/>
                <a:pt x="2745396" y="943706"/>
                <a:pt x="2752725" y="952500"/>
              </a:cubicBezTo>
              <a:cubicBezTo>
                <a:pt x="2761349" y="962848"/>
                <a:pt x="2773828" y="969867"/>
                <a:pt x="2781300" y="981075"/>
              </a:cubicBezTo>
              <a:cubicBezTo>
                <a:pt x="2786869" y="989429"/>
                <a:pt x="2784397" y="1001937"/>
                <a:pt x="2790825" y="1009650"/>
              </a:cubicBezTo>
              <a:cubicBezTo>
                <a:pt x="2798209" y="1018511"/>
                <a:pt x="2844470" y="1048588"/>
                <a:pt x="2857500" y="1057275"/>
              </a:cubicBezTo>
              <a:cubicBezTo>
                <a:pt x="2876539" y="1114392"/>
                <a:pt x="2851667" y="1060440"/>
                <a:pt x="2914650" y="1114425"/>
              </a:cubicBezTo>
              <a:cubicBezTo>
                <a:pt x="2923342" y="1121875"/>
                <a:pt x="2924761" y="1135849"/>
                <a:pt x="2933700" y="1143000"/>
              </a:cubicBezTo>
              <a:cubicBezTo>
                <a:pt x="2941540" y="1149272"/>
                <a:pt x="2953295" y="1148035"/>
                <a:pt x="2962275" y="1152525"/>
              </a:cubicBezTo>
              <a:cubicBezTo>
                <a:pt x="2972514" y="1157645"/>
                <a:pt x="2980911" y="1165895"/>
                <a:pt x="2990850" y="1171575"/>
              </a:cubicBezTo>
              <a:cubicBezTo>
                <a:pt x="3003178" y="1178620"/>
                <a:pt x="3016250" y="1184275"/>
                <a:pt x="3028950" y="1190625"/>
              </a:cubicBezTo>
              <a:cubicBezTo>
                <a:pt x="3052815" y="1222445"/>
                <a:pt x="3057154" y="1231973"/>
                <a:pt x="3086100" y="1257300"/>
              </a:cubicBezTo>
              <a:cubicBezTo>
                <a:pt x="3101400" y="1270687"/>
                <a:pt x="3119350" y="1281025"/>
                <a:pt x="3133725" y="1295400"/>
              </a:cubicBezTo>
              <a:cubicBezTo>
                <a:pt x="3187577" y="1349252"/>
                <a:pt x="3109138" y="1302157"/>
                <a:pt x="3190875" y="1343025"/>
              </a:cubicBezTo>
              <a:cubicBezTo>
                <a:pt x="3213461" y="1373139"/>
                <a:pt x="3220165" y="1385820"/>
                <a:pt x="3248025" y="1409700"/>
              </a:cubicBezTo>
              <a:cubicBezTo>
                <a:pt x="3268700" y="1427422"/>
                <a:pt x="3292085" y="1442248"/>
                <a:pt x="3314700" y="1457325"/>
              </a:cubicBezTo>
              <a:cubicBezTo>
                <a:pt x="3366910" y="1561745"/>
                <a:pt x="3297966" y="1433898"/>
                <a:pt x="3362325" y="1524000"/>
              </a:cubicBezTo>
              <a:cubicBezTo>
                <a:pt x="3370578" y="1535554"/>
                <a:pt x="3373122" y="1550546"/>
                <a:pt x="3381375" y="1562100"/>
              </a:cubicBezTo>
              <a:cubicBezTo>
                <a:pt x="3389205" y="1573061"/>
                <a:pt x="3401184" y="1580448"/>
                <a:pt x="3409950" y="1590675"/>
              </a:cubicBezTo>
              <a:cubicBezTo>
                <a:pt x="3420281" y="1602728"/>
                <a:pt x="3429298" y="1615857"/>
                <a:pt x="3438525" y="1628775"/>
              </a:cubicBezTo>
              <a:cubicBezTo>
                <a:pt x="3445179" y="1638090"/>
                <a:pt x="3448960" y="1649812"/>
                <a:pt x="3457575" y="1657350"/>
              </a:cubicBezTo>
              <a:cubicBezTo>
                <a:pt x="3563080" y="1749667"/>
                <a:pt x="3471585" y="1656471"/>
                <a:pt x="3552825" y="1714500"/>
              </a:cubicBezTo>
              <a:cubicBezTo>
                <a:pt x="3587154" y="1739021"/>
                <a:pt x="3572181" y="1745928"/>
                <a:pt x="3609975" y="1762125"/>
              </a:cubicBezTo>
              <a:cubicBezTo>
                <a:pt x="3622007" y="1767282"/>
                <a:pt x="3635375" y="1768475"/>
                <a:pt x="3648075" y="1771650"/>
              </a:cubicBezTo>
              <a:cubicBezTo>
                <a:pt x="3675374" y="1805773"/>
                <a:pt x="3679368" y="1820634"/>
                <a:pt x="3714750" y="1838325"/>
              </a:cubicBezTo>
              <a:cubicBezTo>
                <a:pt x="3723730" y="1842815"/>
                <a:pt x="3733800" y="1844675"/>
                <a:pt x="3743325" y="1847850"/>
              </a:cubicBezTo>
              <a:cubicBezTo>
                <a:pt x="3749675" y="1857375"/>
                <a:pt x="3753436" y="1869274"/>
                <a:pt x="3762375" y="1876425"/>
              </a:cubicBezTo>
              <a:cubicBezTo>
                <a:pt x="3770215" y="1882697"/>
                <a:pt x="3782173" y="1881074"/>
                <a:pt x="3790950" y="1885950"/>
              </a:cubicBezTo>
              <a:cubicBezTo>
                <a:pt x="3810964" y="1897069"/>
                <a:pt x="3830222" y="1909747"/>
                <a:pt x="3848100" y="1924050"/>
              </a:cubicBezTo>
              <a:cubicBezTo>
                <a:pt x="3863975" y="1936750"/>
                <a:pt x="3880530" y="1948644"/>
                <a:pt x="3895725" y="1962150"/>
              </a:cubicBezTo>
              <a:cubicBezTo>
                <a:pt x="3947336" y="2008027"/>
                <a:pt x="3915017" y="1994007"/>
                <a:pt x="3971925" y="2019300"/>
              </a:cubicBezTo>
              <a:cubicBezTo>
                <a:pt x="3987549" y="2026244"/>
                <a:pt x="4003482" y="2032507"/>
                <a:pt x="4019550" y="2038350"/>
              </a:cubicBezTo>
              <a:cubicBezTo>
                <a:pt x="4083884" y="2061744"/>
                <a:pt x="4061847" y="2042547"/>
                <a:pt x="4086225" y="2066925"/>
              </a:cubicBezTo>
            </a:path>
          </a:pathLst>
        </a:custGeom>
        <a:noFill/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504825</xdr:colOff>
      <xdr:row>3</xdr:row>
      <xdr:rowOff>171450</xdr:rowOff>
    </xdr:from>
    <xdr:to>
      <xdr:col>13</xdr:col>
      <xdr:colOff>320040</xdr:colOff>
      <xdr:row>15</xdr:row>
      <xdr:rowOff>59055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2A4781A4-051B-47E4-81BD-5098E5D906E4}"/>
            </a:ext>
          </a:extLst>
        </xdr:cNvPr>
        <xdr:cNvSpPr/>
      </xdr:nvSpPr>
      <xdr:spPr>
        <a:xfrm>
          <a:off x="4162425" y="714375"/>
          <a:ext cx="4082415" cy="2059305"/>
        </a:xfrm>
        <a:custGeom>
          <a:avLst/>
          <a:gdLst>
            <a:gd name="connsiteX0" fmla="*/ 0 w 4086225"/>
            <a:gd name="connsiteY0" fmla="*/ 2009775 h 2066925"/>
            <a:gd name="connsiteX1" fmla="*/ 342900 w 4086225"/>
            <a:gd name="connsiteY1" fmla="*/ 1962150 h 2066925"/>
            <a:gd name="connsiteX2" fmla="*/ 466725 w 4086225"/>
            <a:gd name="connsiteY2" fmla="*/ 1895475 h 2066925"/>
            <a:gd name="connsiteX3" fmla="*/ 504825 w 4086225"/>
            <a:gd name="connsiteY3" fmla="*/ 1885950 h 2066925"/>
            <a:gd name="connsiteX4" fmla="*/ 552450 w 4086225"/>
            <a:gd name="connsiteY4" fmla="*/ 1857375 h 2066925"/>
            <a:gd name="connsiteX5" fmla="*/ 581025 w 4086225"/>
            <a:gd name="connsiteY5" fmla="*/ 1847850 h 2066925"/>
            <a:gd name="connsiteX6" fmla="*/ 619125 w 4086225"/>
            <a:gd name="connsiteY6" fmla="*/ 1819275 h 2066925"/>
            <a:gd name="connsiteX7" fmla="*/ 666750 w 4086225"/>
            <a:gd name="connsiteY7" fmla="*/ 1781175 h 2066925"/>
            <a:gd name="connsiteX8" fmla="*/ 733425 w 4086225"/>
            <a:gd name="connsiteY8" fmla="*/ 1695450 h 2066925"/>
            <a:gd name="connsiteX9" fmla="*/ 771525 w 4086225"/>
            <a:gd name="connsiteY9" fmla="*/ 1657350 h 2066925"/>
            <a:gd name="connsiteX10" fmla="*/ 809625 w 4086225"/>
            <a:gd name="connsiteY10" fmla="*/ 1628775 h 2066925"/>
            <a:gd name="connsiteX11" fmla="*/ 857250 w 4086225"/>
            <a:gd name="connsiteY11" fmla="*/ 1581150 h 2066925"/>
            <a:gd name="connsiteX12" fmla="*/ 895350 w 4086225"/>
            <a:gd name="connsiteY12" fmla="*/ 1514475 h 2066925"/>
            <a:gd name="connsiteX13" fmla="*/ 904875 w 4086225"/>
            <a:gd name="connsiteY13" fmla="*/ 1485900 h 2066925"/>
            <a:gd name="connsiteX14" fmla="*/ 962025 w 4086225"/>
            <a:gd name="connsiteY14" fmla="*/ 1381125 h 2066925"/>
            <a:gd name="connsiteX15" fmla="*/ 1028700 w 4086225"/>
            <a:gd name="connsiteY15" fmla="*/ 1343025 h 2066925"/>
            <a:gd name="connsiteX16" fmla="*/ 1123950 w 4086225"/>
            <a:gd name="connsiteY16" fmla="*/ 1276350 h 2066925"/>
            <a:gd name="connsiteX17" fmla="*/ 1181100 w 4086225"/>
            <a:gd name="connsiteY17" fmla="*/ 1247775 h 2066925"/>
            <a:gd name="connsiteX18" fmla="*/ 1247775 w 4086225"/>
            <a:gd name="connsiteY18" fmla="*/ 1228725 h 2066925"/>
            <a:gd name="connsiteX19" fmla="*/ 1285875 w 4086225"/>
            <a:gd name="connsiteY19" fmla="*/ 1200150 h 2066925"/>
            <a:gd name="connsiteX20" fmla="*/ 1295400 w 4086225"/>
            <a:gd name="connsiteY20" fmla="*/ 1171575 h 2066925"/>
            <a:gd name="connsiteX21" fmla="*/ 1314450 w 4086225"/>
            <a:gd name="connsiteY21" fmla="*/ 1133475 h 2066925"/>
            <a:gd name="connsiteX22" fmla="*/ 1333500 w 4086225"/>
            <a:gd name="connsiteY22" fmla="*/ 1047750 h 2066925"/>
            <a:gd name="connsiteX23" fmla="*/ 1343025 w 4086225"/>
            <a:gd name="connsiteY23" fmla="*/ 1019175 h 2066925"/>
            <a:gd name="connsiteX24" fmla="*/ 1362075 w 4086225"/>
            <a:gd name="connsiteY24" fmla="*/ 981075 h 2066925"/>
            <a:gd name="connsiteX25" fmla="*/ 1371600 w 4086225"/>
            <a:gd name="connsiteY25" fmla="*/ 933450 h 2066925"/>
            <a:gd name="connsiteX26" fmla="*/ 1390650 w 4086225"/>
            <a:gd name="connsiteY26" fmla="*/ 904875 h 2066925"/>
            <a:gd name="connsiteX27" fmla="*/ 1400175 w 4086225"/>
            <a:gd name="connsiteY27" fmla="*/ 876300 h 2066925"/>
            <a:gd name="connsiteX28" fmla="*/ 1419225 w 4086225"/>
            <a:gd name="connsiteY28" fmla="*/ 847725 h 2066925"/>
            <a:gd name="connsiteX29" fmla="*/ 1438275 w 4086225"/>
            <a:gd name="connsiteY29" fmla="*/ 809625 h 2066925"/>
            <a:gd name="connsiteX30" fmla="*/ 1495425 w 4086225"/>
            <a:gd name="connsiteY30" fmla="*/ 752475 h 2066925"/>
            <a:gd name="connsiteX31" fmla="*/ 1562100 w 4086225"/>
            <a:gd name="connsiteY31" fmla="*/ 685800 h 2066925"/>
            <a:gd name="connsiteX32" fmla="*/ 1609725 w 4086225"/>
            <a:gd name="connsiteY32" fmla="*/ 619125 h 2066925"/>
            <a:gd name="connsiteX33" fmla="*/ 1628775 w 4086225"/>
            <a:gd name="connsiteY33" fmla="*/ 590550 h 2066925"/>
            <a:gd name="connsiteX34" fmla="*/ 1657350 w 4086225"/>
            <a:gd name="connsiteY34" fmla="*/ 571500 h 2066925"/>
            <a:gd name="connsiteX35" fmla="*/ 1724025 w 4086225"/>
            <a:gd name="connsiteY35" fmla="*/ 485775 h 2066925"/>
            <a:gd name="connsiteX36" fmla="*/ 1743075 w 4086225"/>
            <a:gd name="connsiteY36" fmla="*/ 447675 h 2066925"/>
            <a:gd name="connsiteX37" fmla="*/ 1762125 w 4086225"/>
            <a:gd name="connsiteY37" fmla="*/ 419100 h 2066925"/>
            <a:gd name="connsiteX38" fmla="*/ 1809750 w 4086225"/>
            <a:gd name="connsiteY38" fmla="*/ 323850 h 2066925"/>
            <a:gd name="connsiteX39" fmla="*/ 1828800 w 4086225"/>
            <a:gd name="connsiteY39" fmla="*/ 295275 h 2066925"/>
            <a:gd name="connsiteX40" fmla="*/ 1847850 w 4086225"/>
            <a:gd name="connsiteY40" fmla="*/ 247650 h 2066925"/>
            <a:gd name="connsiteX41" fmla="*/ 1866900 w 4086225"/>
            <a:gd name="connsiteY41" fmla="*/ 219075 h 2066925"/>
            <a:gd name="connsiteX42" fmla="*/ 1885950 w 4086225"/>
            <a:gd name="connsiteY42" fmla="*/ 180975 h 2066925"/>
            <a:gd name="connsiteX43" fmla="*/ 1905000 w 4086225"/>
            <a:gd name="connsiteY43" fmla="*/ 152400 h 2066925"/>
            <a:gd name="connsiteX44" fmla="*/ 1924050 w 4086225"/>
            <a:gd name="connsiteY44" fmla="*/ 104775 h 2066925"/>
            <a:gd name="connsiteX45" fmla="*/ 1962150 w 4086225"/>
            <a:gd name="connsiteY45" fmla="*/ 47625 h 2066925"/>
            <a:gd name="connsiteX46" fmla="*/ 1981200 w 4086225"/>
            <a:gd name="connsiteY46" fmla="*/ 19050 h 2066925"/>
            <a:gd name="connsiteX47" fmla="*/ 2009775 w 4086225"/>
            <a:gd name="connsiteY47" fmla="*/ 0 h 2066925"/>
            <a:gd name="connsiteX48" fmla="*/ 2095500 w 4086225"/>
            <a:gd name="connsiteY48" fmla="*/ 9525 h 2066925"/>
            <a:gd name="connsiteX49" fmla="*/ 2162175 w 4086225"/>
            <a:gd name="connsiteY49" fmla="*/ 66675 h 2066925"/>
            <a:gd name="connsiteX50" fmla="*/ 2228850 w 4086225"/>
            <a:gd name="connsiteY50" fmla="*/ 123825 h 2066925"/>
            <a:gd name="connsiteX51" fmla="*/ 2238375 w 4086225"/>
            <a:gd name="connsiteY51" fmla="*/ 152400 h 2066925"/>
            <a:gd name="connsiteX52" fmla="*/ 2286000 w 4086225"/>
            <a:gd name="connsiteY52" fmla="*/ 219075 h 2066925"/>
            <a:gd name="connsiteX53" fmla="*/ 2314575 w 4086225"/>
            <a:gd name="connsiteY53" fmla="*/ 276225 h 2066925"/>
            <a:gd name="connsiteX54" fmla="*/ 2343150 w 4086225"/>
            <a:gd name="connsiteY54" fmla="*/ 323850 h 2066925"/>
            <a:gd name="connsiteX55" fmla="*/ 2362200 w 4086225"/>
            <a:gd name="connsiteY55" fmla="*/ 390525 h 2066925"/>
            <a:gd name="connsiteX56" fmla="*/ 2381250 w 4086225"/>
            <a:gd name="connsiteY56" fmla="*/ 419100 h 2066925"/>
            <a:gd name="connsiteX57" fmla="*/ 2400300 w 4086225"/>
            <a:gd name="connsiteY57" fmla="*/ 457200 h 2066925"/>
            <a:gd name="connsiteX58" fmla="*/ 2419350 w 4086225"/>
            <a:gd name="connsiteY58" fmla="*/ 485775 h 2066925"/>
            <a:gd name="connsiteX59" fmla="*/ 2457450 w 4086225"/>
            <a:gd name="connsiteY59" fmla="*/ 533400 h 2066925"/>
            <a:gd name="connsiteX60" fmla="*/ 2505075 w 4086225"/>
            <a:gd name="connsiteY60" fmla="*/ 590550 h 2066925"/>
            <a:gd name="connsiteX61" fmla="*/ 2543175 w 4086225"/>
            <a:gd name="connsiteY61" fmla="*/ 638175 h 2066925"/>
            <a:gd name="connsiteX62" fmla="*/ 2552700 w 4086225"/>
            <a:gd name="connsiteY62" fmla="*/ 676275 h 2066925"/>
            <a:gd name="connsiteX63" fmla="*/ 2590800 w 4086225"/>
            <a:gd name="connsiteY63" fmla="*/ 733425 h 2066925"/>
            <a:gd name="connsiteX64" fmla="*/ 2657475 w 4086225"/>
            <a:gd name="connsiteY64" fmla="*/ 828675 h 2066925"/>
            <a:gd name="connsiteX65" fmla="*/ 2695575 w 4086225"/>
            <a:gd name="connsiteY65" fmla="*/ 876300 h 2066925"/>
            <a:gd name="connsiteX66" fmla="*/ 2733675 w 4086225"/>
            <a:gd name="connsiteY66" fmla="*/ 923925 h 2066925"/>
            <a:gd name="connsiteX67" fmla="*/ 2752725 w 4086225"/>
            <a:gd name="connsiteY67" fmla="*/ 952500 h 2066925"/>
            <a:gd name="connsiteX68" fmla="*/ 2781300 w 4086225"/>
            <a:gd name="connsiteY68" fmla="*/ 981075 h 2066925"/>
            <a:gd name="connsiteX69" fmla="*/ 2790825 w 4086225"/>
            <a:gd name="connsiteY69" fmla="*/ 1009650 h 2066925"/>
            <a:gd name="connsiteX70" fmla="*/ 2857500 w 4086225"/>
            <a:gd name="connsiteY70" fmla="*/ 1057275 h 2066925"/>
            <a:gd name="connsiteX71" fmla="*/ 2914650 w 4086225"/>
            <a:gd name="connsiteY71" fmla="*/ 1114425 h 2066925"/>
            <a:gd name="connsiteX72" fmla="*/ 2933700 w 4086225"/>
            <a:gd name="connsiteY72" fmla="*/ 1143000 h 2066925"/>
            <a:gd name="connsiteX73" fmla="*/ 2962275 w 4086225"/>
            <a:gd name="connsiteY73" fmla="*/ 1152525 h 2066925"/>
            <a:gd name="connsiteX74" fmla="*/ 2990850 w 4086225"/>
            <a:gd name="connsiteY74" fmla="*/ 1171575 h 2066925"/>
            <a:gd name="connsiteX75" fmla="*/ 3028950 w 4086225"/>
            <a:gd name="connsiteY75" fmla="*/ 1190625 h 2066925"/>
            <a:gd name="connsiteX76" fmla="*/ 3086100 w 4086225"/>
            <a:gd name="connsiteY76" fmla="*/ 1257300 h 2066925"/>
            <a:gd name="connsiteX77" fmla="*/ 3133725 w 4086225"/>
            <a:gd name="connsiteY77" fmla="*/ 1295400 h 2066925"/>
            <a:gd name="connsiteX78" fmla="*/ 3190875 w 4086225"/>
            <a:gd name="connsiteY78" fmla="*/ 1343025 h 2066925"/>
            <a:gd name="connsiteX79" fmla="*/ 3248025 w 4086225"/>
            <a:gd name="connsiteY79" fmla="*/ 1409700 h 2066925"/>
            <a:gd name="connsiteX80" fmla="*/ 3314700 w 4086225"/>
            <a:gd name="connsiteY80" fmla="*/ 1457325 h 2066925"/>
            <a:gd name="connsiteX81" fmla="*/ 3362325 w 4086225"/>
            <a:gd name="connsiteY81" fmla="*/ 1524000 h 2066925"/>
            <a:gd name="connsiteX82" fmla="*/ 3381375 w 4086225"/>
            <a:gd name="connsiteY82" fmla="*/ 1562100 h 2066925"/>
            <a:gd name="connsiteX83" fmla="*/ 3409950 w 4086225"/>
            <a:gd name="connsiteY83" fmla="*/ 1590675 h 2066925"/>
            <a:gd name="connsiteX84" fmla="*/ 3438525 w 4086225"/>
            <a:gd name="connsiteY84" fmla="*/ 1628775 h 2066925"/>
            <a:gd name="connsiteX85" fmla="*/ 3457575 w 4086225"/>
            <a:gd name="connsiteY85" fmla="*/ 1657350 h 2066925"/>
            <a:gd name="connsiteX86" fmla="*/ 3552825 w 4086225"/>
            <a:gd name="connsiteY86" fmla="*/ 1714500 h 2066925"/>
            <a:gd name="connsiteX87" fmla="*/ 3609975 w 4086225"/>
            <a:gd name="connsiteY87" fmla="*/ 1762125 h 2066925"/>
            <a:gd name="connsiteX88" fmla="*/ 3648075 w 4086225"/>
            <a:gd name="connsiteY88" fmla="*/ 1771650 h 2066925"/>
            <a:gd name="connsiteX89" fmla="*/ 3714750 w 4086225"/>
            <a:gd name="connsiteY89" fmla="*/ 1838325 h 2066925"/>
            <a:gd name="connsiteX90" fmla="*/ 3743325 w 4086225"/>
            <a:gd name="connsiteY90" fmla="*/ 1847850 h 2066925"/>
            <a:gd name="connsiteX91" fmla="*/ 3762375 w 4086225"/>
            <a:gd name="connsiteY91" fmla="*/ 1876425 h 2066925"/>
            <a:gd name="connsiteX92" fmla="*/ 3790950 w 4086225"/>
            <a:gd name="connsiteY92" fmla="*/ 1885950 h 2066925"/>
            <a:gd name="connsiteX93" fmla="*/ 3848100 w 4086225"/>
            <a:gd name="connsiteY93" fmla="*/ 1924050 h 2066925"/>
            <a:gd name="connsiteX94" fmla="*/ 3895725 w 4086225"/>
            <a:gd name="connsiteY94" fmla="*/ 1962150 h 2066925"/>
            <a:gd name="connsiteX95" fmla="*/ 3971925 w 4086225"/>
            <a:gd name="connsiteY95" fmla="*/ 2019300 h 2066925"/>
            <a:gd name="connsiteX96" fmla="*/ 4019550 w 4086225"/>
            <a:gd name="connsiteY96" fmla="*/ 2038350 h 2066925"/>
            <a:gd name="connsiteX97" fmla="*/ 4086225 w 4086225"/>
            <a:gd name="connsiteY97" fmla="*/ 2066925 h 20669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</a:cxnLst>
          <a:rect l="l" t="t" r="r" b="b"/>
          <a:pathLst>
            <a:path w="4086225" h="2066925">
              <a:moveTo>
                <a:pt x="0" y="2009775"/>
              </a:moveTo>
              <a:cubicBezTo>
                <a:pt x="299217" y="1978822"/>
                <a:pt x="187220" y="2006630"/>
                <a:pt x="342900" y="1962150"/>
              </a:cubicBezTo>
              <a:cubicBezTo>
                <a:pt x="371682" y="1944881"/>
                <a:pt x="440222" y="1902101"/>
                <a:pt x="466725" y="1895475"/>
              </a:cubicBezTo>
              <a:lnTo>
                <a:pt x="504825" y="1885950"/>
              </a:lnTo>
              <a:cubicBezTo>
                <a:pt x="520700" y="1876425"/>
                <a:pt x="535891" y="1865654"/>
                <a:pt x="552450" y="1857375"/>
              </a:cubicBezTo>
              <a:cubicBezTo>
                <a:pt x="561430" y="1852885"/>
                <a:pt x="572308" y="1852831"/>
                <a:pt x="581025" y="1847850"/>
              </a:cubicBezTo>
              <a:cubicBezTo>
                <a:pt x="594808" y="1839974"/>
                <a:pt x="606425" y="1828800"/>
                <a:pt x="619125" y="1819275"/>
              </a:cubicBezTo>
              <a:cubicBezTo>
                <a:pt x="644356" y="1743583"/>
                <a:pt x="603829" y="1838376"/>
                <a:pt x="666750" y="1781175"/>
              </a:cubicBezTo>
              <a:cubicBezTo>
                <a:pt x="693536" y="1756824"/>
                <a:pt x="707827" y="1721048"/>
                <a:pt x="733425" y="1695450"/>
              </a:cubicBezTo>
              <a:cubicBezTo>
                <a:pt x="746125" y="1682750"/>
                <a:pt x="758008" y="1669177"/>
                <a:pt x="771525" y="1657350"/>
              </a:cubicBezTo>
              <a:cubicBezTo>
                <a:pt x="783472" y="1646896"/>
                <a:pt x="798400" y="1640000"/>
                <a:pt x="809625" y="1628775"/>
              </a:cubicBezTo>
              <a:cubicBezTo>
                <a:pt x="873125" y="1565275"/>
                <a:pt x="781050" y="1631950"/>
                <a:pt x="857250" y="1581150"/>
              </a:cubicBezTo>
              <a:cubicBezTo>
                <a:pt x="879089" y="1515632"/>
                <a:pt x="849218" y="1595206"/>
                <a:pt x="895350" y="1514475"/>
              </a:cubicBezTo>
              <a:cubicBezTo>
                <a:pt x="900331" y="1505758"/>
                <a:pt x="900797" y="1495075"/>
                <a:pt x="904875" y="1485900"/>
              </a:cubicBezTo>
              <a:cubicBezTo>
                <a:pt x="912233" y="1469343"/>
                <a:pt x="948131" y="1397335"/>
                <a:pt x="962025" y="1381125"/>
              </a:cubicBezTo>
              <a:cubicBezTo>
                <a:pt x="974125" y="1367008"/>
                <a:pt x="1015449" y="1351307"/>
                <a:pt x="1028700" y="1343025"/>
              </a:cubicBezTo>
              <a:cubicBezTo>
                <a:pt x="1076486" y="1313159"/>
                <a:pt x="1066038" y="1305306"/>
                <a:pt x="1123950" y="1276350"/>
              </a:cubicBezTo>
              <a:cubicBezTo>
                <a:pt x="1143000" y="1266825"/>
                <a:pt x="1161637" y="1256425"/>
                <a:pt x="1181100" y="1247775"/>
              </a:cubicBezTo>
              <a:cubicBezTo>
                <a:pt x="1198669" y="1239967"/>
                <a:pt x="1230477" y="1233049"/>
                <a:pt x="1247775" y="1228725"/>
              </a:cubicBezTo>
              <a:cubicBezTo>
                <a:pt x="1260475" y="1219200"/>
                <a:pt x="1275712" y="1212346"/>
                <a:pt x="1285875" y="1200150"/>
              </a:cubicBezTo>
              <a:cubicBezTo>
                <a:pt x="1292303" y="1192437"/>
                <a:pt x="1291445" y="1180803"/>
                <a:pt x="1295400" y="1171575"/>
              </a:cubicBezTo>
              <a:cubicBezTo>
                <a:pt x="1300993" y="1158524"/>
                <a:pt x="1308100" y="1146175"/>
                <a:pt x="1314450" y="1133475"/>
              </a:cubicBezTo>
              <a:cubicBezTo>
                <a:pt x="1320997" y="1100739"/>
                <a:pt x="1324532" y="1079137"/>
                <a:pt x="1333500" y="1047750"/>
              </a:cubicBezTo>
              <a:cubicBezTo>
                <a:pt x="1336258" y="1038096"/>
                <a:pt x="1339070" y="1028403"/>
                <a:pt x="1343025" y="1019175"/>
              </a:cubicBezTo>
              <a:cubicBezTo>
                <a:pt x="1348618" y="1006124"/>
                <a:pt x="1355725" y="993775"/>
                <a:pt x="1362075" y="981075"/>
              </a:cubicBezTo>
              <a:cubicBezTo>
                <a:pt x="1365250" y="965200"/>
                <a:pt x="1365916" y="948609"/>
                <a:pt x="1371600" y="933450"/>
              </a:cubicBezTo>
              <a:cubicBezTo>
                <a:pt x="1375620" y="922731"/>
                <a:pt x="1385530" y="915114"/>
                <a:pt x="1390650" y="904875"/>
              </a:cubicBezTo>
              <a:cubicBezTo>
                <a:pt x="1395140" y="895895"/>
                <a:pt x="1395685" y="885280"/>
                <a:pt x="1400175" y="876300"/>
              </a:cubicBezTo>
              <a:cubicBezTo>
                <a:pt x="1405295" y="866061"/>
                <a:pt x="1413545" y="857664"/>
                <a:pt x="1419225" y="847725"/>
              </a:cubicBezTo>
              <a:cubicBezTo>
                <a:pt x="1426270" y="835397"/>
                <a:pt x="1429405" y="820713"/>
                <a:pt x="1438275" y="809625"/>
              </a:cubicBezTo>
              <a:cubicBezTo>
                <a:pt x="1455105" y="788588"/>
                <a:pt x="1479261" y="774028"/>
                <a:pt x="1495425" y="752475"/>
              </a:cubicBezTo>
              <a:cubicBezTo>
                <a:pt x="1533525" y="701675"/>
                <a:pt x="1511300" y="723900"/>
                <a:pt x="1562100" y="685800"/>
              </a:cubicBezTo>
              <a:cubicBezTo>
                <a:pt x="1579602" y="633295"/>
                <a:pt x="1560416" y="676652"/>
                <a:pt x="1609725" y="619125"/>
              </a:cubicBezTo>
              <a:cubicBezTo>
                <a:pt x="1617175" y="610433"/>
                <a:pt x="1620680" y="598645"/>
                <a:pt x="1628775" y="590550"/>
              </a:cubicBezTo>
              <a:cubicBezTo>
                <a:pt x="1636870" y="582455"/>
                <a:pt x="1648556" y="578829"/>
                <a:pt x="1657350" y="571500"/>
              </a:cubicBezTo>
              <a:cubicBezTo>
                <a:pt x="1684229" y="549101"/>
                <a:pt x="1708853" y="516119"/>
                <a:pt x="1724025" y="485775"/>
              </a:cubicBezTo>
              <a:cubicBezTo>
                <a:pt x="1730375" y="473075"/>
                <a:pt x="1736030" y="460003"/>
                <a:pt x="1743075" y="447675"/>
              </a:cubicBezTo>
              <a:cubicBezTo>
                <a:pt x="1748755" y="437736"/>
                <a:pt x="1756698" y="429179"/>
                <a:pt x="1762125" y="419100"/>
              </a:cubicBezTo>
              <a:cubicBezTo>
                <a:pt x="1778954" y="387845"/>
                <a:pt x="1790059" y="353386"/>
                <a:pt x="1809750" y="323850"/>
              </a:cubicBezTo>
              <a:cubicBezTo>
                <a:pt x="1816100" y="314325"/>
                <a:pt x="1823680" y="305514"/>
                <a:pt x="1828800" y="295275"/>
              </a:cubicBezTo>
              <a:cubicBezTo>
                <a:pt x="1836446" y="279982"/>
                <a:pt x="1840204" y="262943"/>
                <a:pt x="1847850" y="247650"/>
              </a:cubicBezTo>
              <a:cubicBezTo>
                <a:pt x="1852970" y="237411"/>
                <a:pt x="1861220" y="229014"/>
                <a:pt x="1866900" y="219075"/>
              </a:cubicBezTo>
              <a:cubicBezTo>
                <a:pt x="1873945" y="206747"/>
                <a:pt x="1878905" y="193303"/>
                <a:pt x="1885950" y="180975"/>
              </a:cubicBezTo>
              <a:cubicBezTo>
                <a:pt x="1891630" y="171036"/>
                <a:pt x="1899880" y="162639"/>
                <a:pt x="1905000" y="152400"/>
              </a:cubicBezTo>
              <a:cubicBezTo>
                <a:pt x="1912646" y="137107"/>
                <a:pt x="1915863" y="119785"/>
                <a:pt x="1924050" y="104775"/>
              </a:cubicBezTo>
              <a:cubicBezTo>
                <a:pt x="1935013" y="84675"/>
                <a:pt x="1949450" y="66675"/>
                <a:pt x="1962150" y="47625"/>
              </a:cubicBezTo>
              <a:cubicBezTo>
                <a:pt x="1968500" y="38100"/>
                <a:pt x="1971675" y="25400"/>
                <a:pt x="1981200" y="19050"/>
              </a:cubicBezTo>
              <a:lnTo>
                <a:pt x="2009775" y="0"/>
              </a:lnTo>
              <a:cubicBezTo>
                <a:pt x="2038350" y="3175"/>
                <a:pt x="2067608" y="2552"/>
                <a:pt x="2095500" y="9525"/>
              </a:cubicBezTo>
              <a:cubicBezTo>
                <a:pt x="2116081" y="14670"/>
                <a:pt x="2151969" y="57927"/>
                <a:pt x="2162175" y="66675"/>
              </a:cubicBezTo>
              <a:cubicBezTo>
                <a:pt x="2263719" y="153713"/>
                <a:pt x="2091618" y="-13407"/>
                <a:pt x="2228850" y="123825"/>
              </a:cubicBezTo>
              <a:cubicBezTo>
                <a:pt x="2232025" y="133350"/>
                <a:pt x="2233885" y="143420"/>
                <a:pt x="2238375" y="152400"/>
              </a:cubicBezTo>
              <a:cubicBezTo>
                <a:pt x="2250006" y="175662"/>
                <a:pt x="2273057" y="197503"/>
                <a:pt x="2286000" y="219075"/>
              </a:cubicBezTo>
              <a:cubicBezTo>
                <a:pt x="2296958" y="237338"/>
                <a:pt x="2304376" y="257527"/>
                <a:pt x="2314575" y="276225"/>
              </a:cubicBezTo>
              <a:cubicBezTo>
                <a:pt x="2323440" y="292478"/>
                <a:pt x="2333625" y="307975"/>
                <a:pt x="2343150" y="323850"/>
              </a:cubicBezTo>
              <a:cubicBezTo>
                <a:pt x="2346202" y="336057"/>
                <a:pt x="2355368" y="376860"/>
                <a:pt x="2362200" y="390525"/>
              </a:cubicBezTo>
              <a:cubicBezTo>
                <a:pt x="2367320" y="400764"/>
                <a:pt x="2375570" y="409161"/>
                <a:pt x="2381250" y="419100"/>
              </a:cubicBezTo>
              <a:cubicBezTo>
                <a:pt x="2388295" y="431428"/>
                <a:pt x="2393255" y="444872"/>
                <a:pt x="2400300" y="457200"/>
              </a:cubicBezTo>
              <a:cubicBezTo>
                <a:pt x="2405980" y="467139"/>
                <a:pt x="2414230" y="475536"/>
                <a:pt x="2419350" y="485775"/>
              </a:cubicBezTo>
              <a:cubicBezTo>
                <a:pt x="2442354" y="531783"/>
                <a:pt x="2409280" y="501287"/>
                <a:pt x="2457450" y="533400"/>
              </a:cubicBezTo>
              <a:cubicBezTo>
                <a:pt x="2479289" y="598918"/>
                <a:pt x="2447410" y="521352"/>
                <a:pt x="2505075" y="590550"/>
              </a:cubicBezTo>
              <a:cubicBezTo>
                <a:pt x="2562585" y="659562"/>
                <a:pt x="2455663" y="579833"/>
                <a:pt x="2543175" y="638175"/>
              </a:cubicBezTo>
              <a:cubicBezTo>
                <a:pt x="2546350" y="650875"/>
                <a:pt x="2546846" y="664566"/>
                <a:pt x="2552700" y="676275"/>
              </a:cubicBezTo>
              <a:cubicBezTo>
                <a:pt x="2562939" y="696753"/>
                <a:pt x="2579020" y="713792"/>
                <a:pt x="2590800" y="733425"/>
              </a:cubicBezTo>
              <a:cubicBezTo>
                <a:pt x="2629835" y="798483"/>
                <a:pt x="2607810" y="766594"/>
                <a:pt x="2657475" y="828675"/>
              </a:cubicBezTo>
              <a:cubicBezTo>
                <a:pt x="2681416" y="900499"/>
                <a:pt x="2646336" y="814752"/>
                <a:pt x="2695575" y="876300"/>
              </a:cubicBezTo>
              <a:cubicBezTo>
                <a:pt x="2748155" y="942025"/>
                <a:pt x="2651783" y="869330"/>
                <a:pt x="2733675" y="923925"/>
              </a:cubicBezTo>
              <a:cubicBezTo>
                <a:pt x="2740025" y="933450"/>
                <a:pt x="2745396" y="943706"/>
                <a:pt x="2752725" y="952500"/>
              </a:cubicBezTo>
              <a:cubicBezTo>
                <a:pt x="2761349" y="962848"/>
                <a:pt x="2773828" y="969867"/>
                <a:pt x="2781300" y="981075"/>
              </a:cubicBezTo>
              <a:cubicBezTo>
                <a:pt x="2786869" y="989429"/>
                <a:pt x="2784397" y="1001937"/>
                <a:pt x="2790825" y="1009650"/>
              </a:cubicBezTo>
              <a:cubicBezTo>
                <a:pt x="2798209" y="1018511"/>
                <a:pt x="2844470" y="1048588"/>
                <a:pt x="2857500" y="1057275"/>
              </a:cubicBezTo>
              <a:cubicBezTo>
                <a:pt x="2876539" y="1114392"/>
                <a:pt x="2851667" y="1060440"/>
                <a:pt x="2914650" y="1114425"/>
              </a:cubicBezTo>
              <a:cubicBezTo>
                <a:pt x="2923342" y="1121875"/>
                <a:pt x="2924761" y="1135849"/>
                <a:pt x="2933700" y="1143000"/>
              </a:cubicBezTo>
              <a:cubicBezTo>
                <a:pt x="2941540" y="1149272"/>
                <a:pt x="2953295" y="1148035"/>
                <a:pt x="2962275" y="1152525"/>
              </a:cubicBezTo>
              <a:cubicBezTo>
                <a:pt x="2972514" y="1157645"/>
                <a:pt x="2980911" y="1165895"/>
                <a:pt x="2990850" y="1171575"/>
              </a:cubicBezTo>
              <a:cubicBezTo>
                <a:pt x="3003178" y="1178620"/>
                <a:pt x="3016250" y="1184275"/>
                <a:pt x="3028950" y="1190625"/>
              </a:cubicBezTo>
              <a:cubicBezTo>
                <a:pt x="3052815" y="1222445"/>
                <a:pt x="3057154" y="1231973"/>
                <a:pt x="3086100" y="1257300"/>
              </a:cubicBezTo>
              <a:cubicBezTo>
                <a:pt x="3101400" y="1270687"/>
                <a:pt x="3119350" y="1281025"/>
                <a:pt x="3133725" y="1295400"/>
              </a:cubicBezTo>
              <a:cubicBezTo>
                <a:pt x="3187577" y="1349252"/>
                <a:pt x="3109138" y="1302157"/>
                <a:pt x="3190875" y="1343025"/>
              </a:cubicBezTo>
              <a:cubicBezTo>
                <a:pt x="3213461" y="1373139"/>
                <a:pt x="3220165" y="1385820"/>
                <a:pt x="3248025" y="1409700"/>
              </a:cubicBezTo>
              <a:cubicBezTo>
                <a:pt x="3268700" y="1427422"/>
                <a:pt x="3292085" y="1442248"/>
                <a:pt x="3314700" y="1457325"/>
              </a:cubicBezTo>
              <a:cubicBezTo>
                <a:pt x="3366910" y="1561745"/>
                <a:pt x="3297966" y="1433898"/>
                <a:pt x="3362325" y="1524000"/>
              </a:cubicBezTo>
              <a:cubicBezTo>
                <a:pt x="3370578" y="1535554"/>
                <a:pt x="3373122" y="1550546"/>
                <a:pt x="3381375" y="1562100"/>
              </a:cubicBezTo>
              <a:cubicBezTo>
                <a:pt x="3389205" y="1573061"/>
                <a:pt x="3401184" y="1580448"/>
                <a:pt x="3409950" y="1590675"/>
              </a:cubicBezTo>
              <a:cubicBezTo>
                <a:pt x="3420281" y="1602728"/>
                <a:pt x="3429298" y="1615857"/>
                <a:pt x="3438525" y="1628775"/>
              </a:cubicBezTo>
              <a:cubicBezTo>
                <a:pt x="3445179" y="1638090"/>
                <a:pt x="3448960" y="1649812"/>
                <a:pt x="3457575" y="1657350"/>
              </a:cubicBezTo>
              <a:cubicBezTo>
                <a:pt x="3563080" y="1749667"/>
                <a:pt x="3471585" y="1656471"/>
                <a:pt x="3552825" y="1714500"/>
              </a:cubicBezTo>
              <a:cubicBezTo>
                <a:pt x="3587154" y="1739021"/>
                <a:pt x="3572181" y="1745928"/>
                <a:pt x="3609975" y="1762125"/>
              </a:cubicBezTo>
              <a:cubicBezTo>
                <a:pt x="3622007" y="1767282"/>
                <a:pt x="3635375" y="1768475"/>
                <a:pt x="3648075" y="1771650"/>
              </a:cubicBezTo>
              <a:cubicBezTo>
                <a:pt x="3675374" y="1805773"/>
                <a:pt x="3679368" y="1820634"/>
                <a:pt x="3714750" y="1838325"/>
              </a:cubicBezTo>
              <a:cubicBezTo>
                <a:pt x="3723730" y="1842815"/>
                <a:pt x="3733800" y="1844675"/>
                <a:pt x="3743325" y="1847850"/>
              </a:cubicBezTo>
              <a:cubicBezTo>
                <a:pt x="3749675" y="1857375"/>
                <a:pt x="3753436" y="1869274"/>
                <a:pt x="3762375" y="1876425"/>
              </a:cubicBezTo>
              <a:cubicBezTo>
                <a:pt x="3770215" y="1882697"/>
                <a:pt x="3782173" y="1881074"/>
                <a:pt x="3790950" y="1885950"/>
              </a:cubicBezTo>
              <a:cubicBezTo>
                <a:pt x="3810964" y="1897069"/>
                <a:pt x="3830222" y="1909747"/>
                <a:pt x="3848100" y="1924050"/>
              </a:cubicBezTo>
              <a:cubicBezTo>
                <a:pt x="3863975" y="1936750"/>
                <a:pt x="3880530" y="1948644"/>
                <a:pt x="3895725" y="1962150"/>
              </a:cubicBezTo>
              <a:cubicBezTo>
                <a:pt x="3947336" y="2008027"/>
                <a:pt x="3915017" y="1994007"/>
                <a:pt x="3971925" y="2019300"/>
              </a:cubicBezTo>
              <a:cubicBezTo>
                <a:pt x="3987549" y="2026244"/>
                <a:pt x="4003482" y="2032507"/>
                <a:pt x="4019550" y="2038350"/>
              </a:cubicBezTo>
              <a:cubicBezTo>
                <a:pt x="4083884" y="2061744"/>
                <a:pt x="4061847" y="2042547"/>
                <a:pt x="4086225" y="2066925"/>
              </a:cubicBezTo>
            </a:path>
          </a:pathLst>
        </a:custGeom>
        <a:noFill/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466725</xdr:colOff>
      <xdr:row>20</xdr:row>
      <xdr:rowOff>133350</xdr:rowOff>
    </xdr:from>
    <xdr:to>
      <xdr:col>21</xdr:col>
      <xdr:colOff>257175</xdr:colOff>
      <xdr:row>30</xdr:row>
      <xdr:rowOff>161925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33C1E3A3-D5A8-1784-0FF6-D8DFD6E7C33E}"/>
            </a:ext>
          </a:extLst>
        </xdr:cNvPr>
        <xdr:cNvSpPr/>
      </xdr:nvSpPr>
      <xdr:spPr>
        <a:xfrm>
          <a:off x="9001125" y="3752850"/>
          <a:ext cx="4057650" cy="1838325"/>
        </a:xfrm>
        <a:custGeom>
          <a:avLst/>
          <a:gdLst>
            <a:gd name="connsiteX0" fmla="*/ 0 w 4057650"/>
            <a:gd name="connsiteY0" fmla="*/ 1828800 h 1838325"/>
            <a:gd name="connsiteX1" fmla="*/ 47625 w 4057650"/>
            <a:gd name="connsiteY1" fmla="*/ 1819275 h 1838325"/>
            <a:gd name="connsiteX2" fmla="*/ 85725 w 4057650"/>
            <a:gd name="connsiteY2" fmla="*/ 1809750 h 1838325"/>
            <a:gd name="connsiteX3" fmla="*/ 295275 w 4057650"/>
            <a:gd name="connsiteY3" fmla="*/ 1790700 h 1838325"/>
            <a:gd name="connsiteX4" fmla="*/ 409575 w 4057650"/>
            <a:gd name="connsiteY4" fmla="*/ 1771650 h 1838325"/>
            <a:gd name="connsiteX5" fmla="*/ 447675 w 4057650"/>
            <a:gd name="connsiteY5" fmla="*/ 1762125 h 1838325"/>
            <a:gd name="connsiteX6" fmla="*/ 514350 w 4057650"/>
            <a:gd name="connsiteY6" fmla="*/ 1743075 h 1838325"/>
            <a:gd name="connsiteX7" fmla="*/ 571500 w 4057650"/>
            <a:gd name="connsiteY7" fmla="*/ 1733550 h 1838325"/>
            <a:gd name="connsiteX8" fmla="*/ 647700 w 4057650"/>
            <a:gd name="connsiteY8" fmla="*/ 1704975 h 1838325"/>
            <a:gd name="connsiteX9" fmla="*/ 695325 w 4057650"/>
            <a:gd name="connsiteY9" fmla="*/ 1647825 h 1838325"/>
            <a:gd name="connsiteX10" fmla="*/ 714375 w 4057650"/>
            <a:gd name="connsiteY10" fmla="*/ 1609725 h 1838325"/>
            <a:gd name="connsiteX11" fmla="*/ 742950 w 4057650"/>
            <a:gd name="connsiteY11" fmla="*/ 1581150 h 1838325"/>
            <a:gd name="connsiteX12" fmla="*/ 762000 w 4057650"/>
            <a:gd name="connsiteY12" fmla="*/ 1533525 h 1838325"/>
            <a:gd name="connsiteX13" fmla="*/ 790575 w 4057650"/>
            <a:gd name="connsiteY13" fmla="*/ 1495425 h 1838325"/>
            <a:gd name="connsiteX14" fmla="*/ 800100 w 4057650"/>
            <a:gd name="connsiteY14" fmla="*/ 1457325 h 1838325"/>
            <a:gd name="connsiteX15" fmla="*/ 838200 w 4057650"/>
            <a:gd name="connsiteY15" fmla="*/ 1390650 h 1838325"/>
            <a:gd name="connsiteX16" fmla="*/ 895350 w 4057650"/>
            <a:gd name="connsiteY16" fmla="*/ 1333500 h 1838325"/>
            <a:gd name="connsiteX17" fmla="*/ 933450 w 4057650"/>
            <a:gd name="connsiteY17" fmla="*/ 1295400 h 1838325"/>
            <a:gd name="connsiteX18" fmla="*/ 1000125 w 4057650"/>
            <a:gd name="connsiteY18" fmla="*/ 1257300 h 1838325"/>
            <a:gd name="connsiteX19" fmla="*/ 1038225 w 4057650"/>
            <a:gd name="connsiteY19" fmla="*/ 1228725 h 1838325"/>
            <a:gd name="connsiteX20" fmla="*/ 1066800 w 4057650"/>
            <a:gd name="connsiteY20" fmla="*/ 1219200 h 1838325"/>
            <a:gd name="connsiteX21" fmla="*/ 1114425 w 4057650"/>
            <a:gd name="connsiteY21" fmla="*/ 1152525 h 1838325"/>
            <a:gd name="connsiteX22" fmla="*/ 1143000 w 4057650"/>
            <a:gd name="connsiteY22" fmla="*/ 1133475 h 1838325"/>
            <a:gd name="connsiteX23" fmla="*/ 1171575 w 4057650"/>
            <a:gd name="connsiteY23" fmla="*/ 1066800 h 1838325"/>
            <a:gd name="connsiteX24" fmla="*/ 1181100 w 4057650"/>
            <a:gd name="connsiteY24" fmla="*/ 1038225 h 1838325"/>
            <a:gd name="connsiteX25" fmla="*/ 1209675 w 4057650"/>
            <a:gd name="connsiteY25" fmla="*/ 990600 h 1838325"/>
            <a:gd name="connsiteX26" fmla="*/ 1238250 w 4057650"/>
            <a:gd name="connsiteY26" fmla="*/ 923925 h 1838325"/>
            <a:gd name="connsiteX27" fmla="*/ 1266825 w 4057650"/>
            <a:gd name="connsiteY27" fmla="*/ 828675 h 1838325"/>
            <a:gd name="connsiteX28" fmla="*/ 1276350 w 4057650"/>
            <a:gd name="connsiteY28" fmla="*/ 781050 h 1838325"/>
            <a:gd name="connsiteX29" fmla="*/ 1295400 w 4057650"/>
            <a:gd name="connsiteY29" fmla="*/ 742950 h 1838325"/>
            <a:gd name="connsiteX30" fmla="*/ 1304925 w 4057650"/>
            <a:gd name="connsiteY30" fmla="*/ 714375 h 1838325"/>
            <a:gd name="connsiteX31" fmla="*/ 1352550 w 4057650"/>
            <a:gd name="connsiteY31" fmla="*/ 628650 h 1838325"/>
            <a:gd name="connsiteX32" fmla="*/ 1390650 w 4057650"/>
            <a:gd name="connsiteY32" fmla="*/ 542925 h 1838325"/>
            <a:gd name="connsiteX33" fmla="*/ 1409700 w 4057650"/>
            <a:gd name="connsiteY33" fmla="*/ 504825 h 1838325"/>
            <a:gd name="connsiteX34" fmla="*/ 1419225 w 4057650"/>
            <a:gd name="connsiteY34" fmla="*/ 438150 h 1838325"/>
            <a:gd name="connsiteX35" fmla="*/ 1438275 w 4057650"/>
            <a:gd name="connsiteY35" fmla="*/ 400050 h 1838325"/>
            <a:gd name="connsiteX36" fmla="*/ 1447800 w 4057650"/>
            <a:gd name="connsiteY36" fmla="*/ 371475 h 1838325"/>
            <a:gd name="connsiteX37" fmla="*/ 1466850 w 4057650"/>
            <a:gd name="connsiteY37" fmla="*/ 333375 h 1838325"/>
            <a:gd name="connsiteX38" fmla="*/ 1476375 w 4057650"/>
            <a:gd name="connsiteY38" fmla="*/ 295275 h 1838325"/>
            <a:gd name="connsiteX39" fmla="*/ 1504950 w 4057650"/>
            <a:gd name="connsiteY39" fmla="*/ 257175 h 1838325"/>
            <a:gd name="connsiteX40" fmla="*/ 1543050 w 4057650"/>
            <a:gd name="connsiteY40" fmla="*/ 200025 h 1838325"/>
            <a:gd name="connsiteX41" fmla="*/ 1666875 w 4057650"/>
            <a:gd name="connsiteY41" fmla="*/ 209550 h 1838325"/>
            <a:gd name="connsiteX42" fmla="*/ 1695450 w 4057650"/>
            <a:gd name="connsiteY42" fmla="*/ 219075 h 1838325"/>
            <a:gd name="connsiteX43" fmla="*/ 1752600 w 4057650"/>
            <a:gd name="connsiteY43" fmla="*/ 228600 h 1838325"/>
            <a:gd name="connsiteX44" fmla="*/ 1847850 w 4057650"/>
            <a:gd name="connsiteY44" fmla="*/ 200025 h 1838325"/>
            <a:gd name="connsiteX45" fmla="*/ 1876425 w 4057650"/>
            <a:gd name="connsiteY45" fmla="*/ 190500 h 1838325"/>
            <a:gd name="connsiteX46" fmla="*/ 1933575 w 4057650"/>
            <a:gd name="connsiteY46" fmla="*/ 123825 h 1838325"/>
            <a:gd name="connsiteX47" fmla="*/ 1962150 w 4057650"/>
            <a:gd name="connsiteY47" fmla="*/ 66675 h 1838325"/>
            <a:gd name="connsiteX48" fmla="*/ 1981200 w 4057650"/>
            <a:gd name="connsiteY48" fmla="*/ 28575 h 1838325"/>
            <a:gd name="connsiteX49" fmla="*/ 2047875 w 4057650"/>
            <a:gd name="connsiteY49" fmla="*/ 0 h 1838325"/>
            <a:gd name="connsiteX50" fmla="*/ 2124075 w 4057650"/>
            <a:gd name="connsiteY50" fmla="*/ 28575 h 1838325"/>
            <a:gd name="connsiteX51" fmla="*/ 2171700 w 4057650"/>
            <a:gd name="connsiteY51" fmla="*/ 57150 h 1838325"/>
            <a:gd name="connsiteX52" fmla="*/ 2238375 w 4057650"/>
            <a:gd name="connsiteY52" fmla="*/ 66675 h 1838325"/>
            <a:gd name="connsiteX53" fmla="*/ 2266950 w 4057650"/>
            <a:gd name="connsiteY53" fmla="*/ 76200 h 1838325"/>
            <a:gd name="connsiteX54" fmla="*/ 2295525 w 4057650"/>
            <a:gd name="connsiteY54" fmla="*/ 95250 h 1838325"/>
            <a:gd name="connsiteX55" fmla="*/ 2371725 w 4057650"/>
            <a:gd name="connsiteY55" fmla="*/ 114300 h 1838325"/>
            <a:gd name="connsiteX56" fmla="*/ 2400300 w 4057650"/>
            <a:gd name="connsiteY56" fmla="*/ 133350 h 1838325"/>
            <a:gd name="connsiteX57" fmla="*/ 2447925 w 4057650"/>
            <a:gd name="connsiteY57" fmla="*/ 152400 h 1838325"/>
            <a:gd name="connsiteX58" fmla="*/ 2533650 w 4057650"/>
            <a:gd name="connsiteY58" fmla="*/ 266700 h 1838325"/>
            <a:gd name="connsiteX59" fmla="*/ 2562225 w 4057650"/>
            <a:gd name="connsiteY59" fmla="*/ 323850 h 1838325"/>
            <a:gd name="connsiteX60" fmla="*/ 2571750 w 4057650"/>
            <a:gd name="connsiteY60" fmla="*/ 352425 h 1838325"/>
            <a:gd name="connsiteX61" fmla="*/ 2590800 w 4057650"/>
            <a:gd name="connsiteY61" fmla="*/ 381000 h 1838325"/>
            <a:gd name="connsiteX62" fmla="*/ 2609850 w 4057650"/>
            <a:gd name="connsiteY62" fmla="*/ 419100 h 1838325"/>
            <a:gd name="connsiteX63" fmla="*/ 2667000 w 4057650"/>
            <a:gd name="connsiteY63" fmla="*/ 504825 h 1838325"/>
            <a:gd name="connsiteX64" fmla="*/ 2676525 w 4057650"/>
            <a:gd name="connsiteY64" fmla="*/ 561975 h 1838325"/>
            <a:gd name="connsiteX65" fmla="*/ 2686050 w 4057650"/>
            <a:gd name="connsiteY65" fmla="*/ 590550 h 1838325"/>
            <a:gd name="connsiteX66" fmla="*/ 2695575 w 4057650"/>
            <a:gd name="connsiteY66" fmla="*/ 647700 h 1838325"/>
            <a:gd name="connsiteX67" fmla="*/ 2714625 w 4057650"/>
            <a:gd name="connsiteY67" fmla="*/ 723900 h 1838325"/>
            <a:gd name="connsiteX68" fmla="*/ 2724150 w 4057650"/>
            <a:gd name="connsiteY68" fmla="*/ 790575 h 1838325"/>
            <a:gd name="connsiteX69" fmla="*/ 2752725 w 4057650"/>
            <a:gd name="connsiteY69" fmla="*/ 866775 h 1838325"/>
            <a:gd name="connsiteX70" fmla="*/ 2762250 w 4057650"/>
            <a:gd name="connsiteY70" fmla="*/ 933450 h 1838325"/>
            <a:gd name="connsiteX71" fmla="*/ 2809875 w 4057650"/>
            <a:gd name="connsiteY71" fmla="*/ 1038225 h 1838325"/>
            <a:gd name="connsiteX72" fmla="*/ 2895600 w 4057650"/>
            <a:gd name="connsiteY72" fmla="*/ 1162050 h 1838325"/>
            <a:gd name="connsiteX73" fmla="*/ 2943225 w 4057650"/>
            <a:gd name="connsiteY73" fmla="*/ 1257300 h 1838325"/>
            <a:gd name="connsiteX74" fmla="*/ 2962275 w 4057650"/>
            <a:gd name="connsiteY74" fmla="*/ 1285875 h 1838325"/>
            <a:gd name="connsiteX75" fmla="*/ 3048000 w 4057650"/>
            <a:gd name="connsiteY75" fmla="*/ 1343025 h 1838325"/>
            <a:gd name="connsiteX76" fmla="*/ 3076575 w 4057650"/>
            <a:gd name="connsiteY76" fmla="*/ 1371600 h 1838325"/>
            <a:gd name="connsiteX77" fmla="*/ 3114675 w 4057650"/>
            <a:gd name="connsiteY77" fmla="*/ 1400175 h 1838325"/>
            <a:gd name="connsiteX78" fmla="*/ 3143250 w 4057650"/>
            <a:gd name="connsiteY78" fmla="*/ 1428750 h 1838325"/>
            <a:gd name="connsiteX79" fmla="*/ 3171825 w 4057650"/>
            <a:gd name="connsiteY79" fmla="*/ 1438275 h 1838325"/>
            <a:gd name="connsiteX80" fmla="*/ 3228975 w 4057650"/>
            <a:gd name="connsiteY80" fmla="*/ 1476375 h 1838325"/>
            <a:gd name="connsiteX81" fmla="*/ 3267075 w 4057650"/>
            <a:gd name="connsiteY81" fmla="*/ 1495425 h 1838325"/>
            <a:gd name="connsiteX82" fmla="*/ 3314700 w 4057650"/>
            <a:gd name="connsiteY82" fmla="*/ 1533525 h 1838325"/>
            <a:gd name="connsiteX83" fmla="*/ 3343275 w 4057650"/>
            <a:gd name="connsiteY83" fmla="*/ 1543050 h 1838325"/>
            <a:gd name="connsiteX84" fmla="*/ 3419475 w 4057650"/>
            <a:gd name="connsiteY84" fmla="*/ 1590675 h 1838325"/>
            <a:gd name="connsiteX85" fmla="*/ 3505200 w 4057650"/>
            <a:gd name="connsiteY85" fmla="*/ 1628775 h 1838325"/>
            <a:gd name="connsiteX86" fmla="*/ 3552825 w 4057650"/>
            <a:gd name="connsiteY86" fmla="*/ 1638300 h 1838325"/>
            <a:gd name="connsiteX87" fmla="*/ 3590925 w 4057650"/>
            <a:gd name="connsiteY87" fmla="*/ 1657350 h 1838325"/>
            <a:gd name="connsiteX88" fmla="*/ 3619500 w 4057650"/>
            <a:gd name="connsiteY88" fmla="*/ 1676400 h 1838325"/>
            <a:gd name="connsiteX89" fmla="*/ 3676650 w 4057650"/>
            <a:gd name="connsiteY89" fmla="*/ 1695450 h 1838325"/>
            <a:gd name="connsiteX90" fmla="*/ 3733800 w 4057650"/>
            <a:gd name="connsiteY90" fmla="*/ 1724025 h 1838325"/>
            <a:gd name="connsiteX91" fmla="*/ 3790950 w 4057650"/>
            <a:gd name="connsiteY91" fmla="*/ 1752600 h 1838325"/>
            <a:gd name="connsiteX92" fmla="*/ 3848100 w 4057650"/>
            <a:gd name="connsiteY92" fmla="*/ 1771650 h 1838325"/>
            <a:gd name="connsiteX93" fmla="*/ 3943350 w 4057650"/>
            <a:gd name="connsiteY93" fmla="*/ 1809750 h 1838325"/>
            <a:gd name="connsiteX94" fmla="*/ 4000500 w 4057650"/>
            <a:gd name="connsiteY94" fmla="*/ 1828800 h 1838325"/>
            <a:gd name="connsiteX95" fmla="*/ 4057650 w 4057650"/>
            <a:gd name="connsiteY95" fmla="*/ 1838325 h 18383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</a:cxnLst>
          <a:rect l="l" t="t" r="r" b="b"/>
          <a:pathLst>
            <a:path w="4057650" h="1838325">
              <a:moveTo>
                <a:pt x="0" y="1828800"/>
              </a:moveTo>
              <a:cubicBezTo>
                <a:pt x="15875" y="1825625"/>
                <a:pt x="31821" y="1822787"/>
                <a:pt x="47625" y="1819275"/>
              </a:cubicBezTo>
              <a:cubicBezTo>
                <a:pt x="60404" y="1816435"/>
                <a:pt x="72735" y="1811374"/>
                <a:pt x="85725" y="1809750"/>
              </a:cubicBezTo>
              <a:cubicBezTo>
                <a:pt x="256449" y="1788410"/>
                <a:pt x="141430" y="1811679"/>
                <a:pt x="295275" y="1790700"/>
              </a:cubicBezTo>
              <a:cubicBezTo>
                <a:pt x="333546" y="1785481"/>
                <a:pt x="372103" y="1781018"/>
                <a:pt x="409575" y="1771650"/>
              </a:cubicBezTo>
              <a:cubicBezTo>
                <a:pt x="422275" y="1768475"/>
                <a:pt x="435045" y="1765569"/>
                <a:pt x="447675" y="1762125"/>
              </a:cubicBezTo>
              <a:cubicBezTo>
                <a:pt x="469975" y="1756043"/>
                <a:pt x="491828" y="1748272"/>
                <a:pt x="514350" y="1743075"/>
              </a:cubicBezTo>
              <a:cubicBezTo>
                <a:pt x="533168" y="1738732"/>
                <a:pt x="552562" y="1737338"/>
                <a:pt x="571500" y="1733550"/>
              </a:cubicBezTo>
              <a:cubicBezTo>
                <a:pt x="599198" y="1728010"/>
                <a:pt x="624115" y="1721821"/>
                <a:pt x="647700" y="1704975"/>
              </a:cubicBezTo>
              <a:cubicBezTo>
                <a:pt x="666721" y="1691389"/>
                <a:pt x="683802" y="1667991"/>
                <a:pt x="695325" y="1647825"/>
              </a:cubicBezTo>
              <a:cubicBezTo>
                <a:pt x="702370" y="1635497"/>
                <a:pt x="706122" y="1621279"/>
                <a:pt x="714375" y="1609725"/>
              </a:cubicBezTo>
              <a:cubicBezTo>
                <a:pt x="722205" y="1598764"/>
                <a:pt x="733425" y="1590675"/>
                <a:pt x="742950" y="1581150"/>
              </a:cubicBezTo>
              <a:cubicBezTo>
                <a:pt x="749300" y="1565275"/>
                <a:pt x="753697" y="1548471"/>
                <a:pt x="762000" y="1533525"/>
              </a:cubicBezTo>
              <a:cubicBezTo>
                <a:pt x="769710" y="1519648"/>
                <a:pt x="783475" y="1509624"/>
                <a:pt x="790575" y="1495425"/>
              </a:cubicBezTo>
              <a:cubicBezTo>
                <a:pt x="796429" y="1483716"/>
                <a:pt x="795503" y="1469582"/>
                <a:pt x="800100" y="1457325"/>
              </a:cubicBezTo>
              <a:cubicBezTo>
                <a:pt x="804582" y="1445372"/>
                <a:pt x="827146" y="1401704"/>
                <a:pt x="838200" y="1390650"/>
              </a:cubicBezTo>
              <a:cubicBezTo>
                <a:pt x="921768" y="1307082"/>
                <a:pt x="801963" y="1458016"/>
                <a:pt x="895350" y="1333500"/>
              </a:cubicBezTo>
              <a:cubicBezTo>
                <a:pt x="916132" y="1271155"/>
                <a:pt x="887268" y="1332345"/>
                <a:pt x="933450" y="1295400"/>
              </a:cubicBezTo>
              <a:cubicBezTo>
                <a:pt x="994182" y="1246814"/>
                <a:pt x="895027" y="1278320"/>
                <a:pt x="1000125" y="1257300"/>
              </a:cubicBezTo>
              <a:cubicBezTo>
                <a:pt x="1012825" y="1247775"/>
                <a:pt x="1024442" y="1236601"/>
                <a:pt x="1038225" y="1228725"/>
              </a:cubicBezTo>
              <a:cubicBezTo>
                <a:pt x="1046942" y="1223744"/>
                <a:pt x="1059087" y="1225628"/>
                <a:pt x="1066800" y="1219200"/>
              </a:cubicBezTo>
              <a:cubicBezTo>
                <a:pt x="1111800" y="1181700"/>
                <a:pt x="1079678" y="1187272"/>
                <a:pt x="1114425" y="1152525"/>
              </a:cubicBezTo>
              <a:cubicBezTo>
                <a:pt x="1122520" y="1144430"/>
                <a:pt x="1133475" y="1139825"/>
                <a:pt x="1143000" y="1133475"/>
              </a:cubicBezTo>
              <a:cubicBezTo>
                <a:pt x="1162824" y="1054181"/>
                <a:pt x="1138686" y="1132579"/>
                <a:pt x="1171575" y="1066800"/>
              </a:cubicBezTo>
              <a:cubicBezTo>
                <a:pt x="1176065" y="1057820"/>
                <a:pt x="1176610" y="1047205"/>
                <a:pt x="1181100" y="1038225"/>
              </a:cubicBezTo>
              <a:cubicBezTo>
                <a:pt x="1189379" y="1021666"/>
                <a:pt x="1200150" y="1006475"/>
                <a:pt x="1209675" y="990600"/>
              </a:cubicBezTo>
              <a:cubicBezTo>
                <a:pt x="1234871" y="889814"/>
                <a:pt x="1200662" y="1008498"/>
                <a:pt x="1238250" y="923925"/>
              </a:cubicBezTo>
              <a:cubicBezTo>
                <a:pt x="1248803" y="900181"/>
                <a:pt x="1260668" y="856382"/>
                <a:pt x="1266825" y="828675"/>
              </a:cubicBezTo>
              <a:cubicBezTo>
                <a:pt x="1270337" y="812871"/>
                <a:pt x="1271230" y="796409"/>
                <a:pt x="1276350" y="781050"/>
              </a:cubicBezTo>
              <a:cubicBezTo>
                <a:pt x="1280840" y="767580"/>
                <a:pt x="1289807" y="756001"/>
                <a:pt x="1295400" y="742950"/>
              </a:cubicBezTo>
              <a:cubicBezTo>
                <a:pt x="1299355" y="733722"/>
                <a:pt x="1300970" y="723603"/>
                <a:pt x="1304925" y="714375"/>
              </a:cubicBezTo>
              <a:cubicBezTo>
                <a:pt x="1322053" y="674409"/>
                <a:pt x="1329970" y="669293"/>
                <a:pt x="1352550" y="628650"/>
              </a:cubicBezTo>
              <a:cubicBezTo>
                <a:pt x="1378603" y="581754"/>
                <a:pt x="1367101" y="595910"/>
                <a:pt x="1390650" y="542925"/>
              </a:cubicBezTo>
              <a:cubicBezTo>
                <a:pt x="1396417" y="529950"/>
                <a:pt x="1403350" y="517525"/>
                <a:pt x="1409700" y="504825"/>
              </a:cubicBezTo>
              <a:cubicBezTo>
                <a:pt x="1412875" y="482600"/>
                <a:pt x="1413318" y="459810"/>
                <a:pt x="1419225" y="438150"/>
              </a:cubicBezTo>
              <a:cubicBezTo>
                <a:pt x="1422961" y="424451"/>
                <a:pt x="1432682" y="413101"/>
                <a:pt x="1438275" y="400050"/>
              </a:cubicBezTo>
              <a:cubicBezTo>
                <a:pt x="1442230" y="390822"/>
                <a:pt x="1443845" y="380703"/>
                <a:pt x="1447800" y="371475"/>
              </a:cubicBezTo>
              <a:cubicBezTo>
                <a:pt x="1453393" y="358424"/>
                <a:pt x="1461864" y="346670"/>
                <a:pt x="1466850" y="333375"/>
              </a:cubicBezTo>
              <a:cubicBezTo>
                <a:pt x="1471447" y="321118"/>
                <a:pt x="1470521" y="306984"/>
                <a:pt x="1476375" y="295275"/>
              </a:cubicBezTo>
              <a:cubicBezTo>
                <a:pt x="1483475" y="281076"/>
                <a:pt x="1495846" y="270180"/>
                <a:pt x="1504950" y="257175"/>
              </a:cubicBezTo>
              <a:cubicBezTo>
                <a:pt x="1518080" y="238418"/>
                <a:pt x="1543050" y="200025"/>
                <a:pt x="1543050" y="200025"/>
              </a:cubicBezTo>
              <a:cubicBezTo>
                <a:pt x="1584325" y="203200"/>
                <a:pt x="1625798" y="204415"/>
                <a:pt x="1666875" y="209550"/>
              </a:cubicBezTo>
              <a:cubicBezTo>
                <a:pt x="1676838" y="210795"/>
                <a:pt x="1685649" y="216897"/>
                <a:pt x="1695450" y="219075"/>
              </a:cubicBezTo>
              <a:cubicBezTo>
                <a:pt x="1714303" y="223265"/>
                <a:pt x="1733550" y="225425"/>
                <a:pt x="1752600" y="228600"/>
              </a:cubicBezTo>
              <a:lnTo>
                <a:pt x="1847850" y="200025"/>
              </a:lnTo>
              <a:cubicBezTo>
                <a:pt x="1857446" y="197072"/>
                <a:pt x="1869325" y="197600"/>
                <a:pt x="1876425" y="190500"/>
              </a:cubicBezTo>
              <a:cubicBezTo>
                <a:pt x="1979819" y="87106"/>
                <a:pt x="1846974" y="181559"/>
                <a:pt x="1933575" y="123825"/>
              </a:cubicBezTo>
              <a:cubicBezTo>
                <a:pt x="1951039" y="71434"/>
                <a:pt x="1932607" y="118376"/>
                <a:pt x="1962150" y="66675"/>
              </a:cubicBezTo>
              <a:cubicBezTo>
                <a:pt x="1969195" y="54347"/>
                <a:pt x="1971160" y="38615"/>
                <a:pt x="1981200" y="28575"/>
              </a:cubicBezTo>
              <a:cubicBezTo>
                <a:pt x="1992970" y="16805"/>
                <a:pt x="2030798" y="5692"/>
                <a:pt x="2047875" y="0"/>
              </a:cubicBezTo>
              <a:cubicBezTo>
                <a:pt x="2073275" y="9525"/>
                <a:pt x="2099445" y="17207"/>
                <a:pt x="2124075" y="28575"/>
              </a:cubicBezTo>
              <a:cubicBezTo>
                <a:pt x="2140884" y="36333"/>
                <a:pt x="2154137" y="51296"/>
                <a:pt x="2171700" y="57150"/>
              </a:cubicBezTo>
              <a:cubicBezTo>
                <a:pt x="2192999" y="64250"/>
                <a:pt x="2216150" y="63500"/>
                <a:pt x="2238375" y="66675"/>
              </a:cubicBezTo>
              <a:cubicBezTo>
                <a:pt x="2247900" y="69850"/>
                <a:pt x="2257970" y="71710"/>
                <a:pt x="2266950" y="76200"/>
              </a:cubicBezTo>
              <a:cubicBezTo>
                <a:pt x="2277189" y="81320"/>
                <a:pt x="2284806" y="91230"/>
                <a:pt x="2295525" y="95250"/>
              </a:cubicBezTo>
              <a:cubicBezTo>
                <a:pt x="2338999" y="111553"/>
                <a:pt x="2336471" y="96673"/>
                <a:pt x="2371725" y="114300"/>
              </a:cubicBezTo>
              <a:cubicBezTo>
                <a:pt x="2381964" y="119420"/>
                <a:pt x="2390061" y="128230"/>
                <a:pt x="2400300" y="133350"/>
              </a:cubicBezTo>
              <a:cubicBezTo>
                <a:pt x="2415593" y="140996"/>
                <a:pt x="2432050" y="146050"/>
                <a:pt x="2447925" y="152400"/>
              </a:cubicBezTo>
              <a:cubicBezTo>
                <a:pt x="2449446" y="154355"/>
                <a:pt x="2517346" y="237352"/>
                <a:pt x="2533650" y="266700"/>
              </a:cubicBezTo>
              <a:cubicBezTo>
                <a:pt x="2543993" y="285318"/>
                <a:pt x="2553575" y="304387"/>
                <a:pt x="2562225" y="323850"/>
              </a:cubicBezTo>
              <a:cubicBezTo>
                <a:pt x="2566303" y="333025"/>
                <a:pt x="2567260" y="343445"/>
                <a:pt x="2571750" y="352425"/>
              </a:cubicBezTo>
              <a:cubicBezTo>
                <a:pt x="2576870" y="362664"/>
                <a:pt x="2585120" y="371061"/>
                <a:pt x="2590800" y="381000"/>
              </a:cubicBezTo>
              <a:cubicBezTo>
                <a:pt x="2597845" y="393328"/>
                <a:pt x="2602954" y="406688"/>
                <a:pt x="2609850" y="419100"/>
              </a:cubicBezTo>
              <a:cubicBezTo>
                <a:pt x="2636095" y="466341"/>
                <a:pt x="2636319" y="463917"/>
                <a:pt x="2667000" y="504825"/>
              </a:cubicBezTo>
              <a:cubicBezTo>
                <a:pt x="2670175" y="523875"/>
                <a:pt x="2672335" y="543122"/>
                <a:pt x="2676525" y="561975"/>
              </a:cubicBezTo>
              <a:cubicBezTo>
                <a:pt x="2678703" y="571776"/>
                <a:pt x="2683872" y="580749"/>
                <a:pt x="2686050" y="590550"/>
              </a:cubicBezTo>
              <a:cubicBezTo>
                <a:pt x="2690240" y="609403"/>
                <a:pt x="2691528" y="628816"/>
                <a:pt x="2695575" y="647700"/>
              </a:cubicBezTo>
              <a:cubicBezTo>
                <a:pt x="2701061" y="673301"/>
                <a:pt x="2710922" y="697981"/>
                <a:pt x="2714625" y="723900"/>
              </a:cubicBezTo>
              <a:cubicBezTo>
                <a:pt x="2717800" y="746125"/>
                <a:pt x="2719747" y="768560"/>
                <a:pt x="2724150" y="790575"/>
              </a:cubicBezTo>
              <a:cubicBezTo>
                <a:pt x="2727136" y="805507"/>
                <a:pt x="2750289" y="860684"/>
                <a:pt x="2752725" y="866775"/>
              </a:cubicBezTo>
              <a:cubicBezTo>
                <a:pt x="2755900" y="889000"/>
                <a:pt x="2757847" y="911435"/>
                <a:pt x="2762250" y="933450"/>
              </a:cubicBezTo>
              <a:cubicBezTo>
                <a:pt x="2767924" y="961818"/>
                <a:pt x="2803578" y="1029829"/>
                <a:pt x="2809875" y="1038225"/>
              </a:cubicBezTo>
              <a:cubicBezTo>
                <a:pt x="2832923" y="1068956"/>
                <a:pt x="2886178" y="1138494"/>
                <a:pt x="2895600" y="1162050"/>
              </a:cubicBezTo>
              <a:cubicBezTo>
                <a:pt x="2918969" y="1220473"/>
                <a:pt x="2908621" y="1201934"/>
                <a:pt x="2943225" y="1257300"/>
              </a:cubicBezTo>
              <a:cubicBezTo>
                <a:pt x="2949292" y="1267008"/>
                <a:pt x="2954180" y="1277780"/>
                <a:pt x="2962275" y="1285875"/>
              </a:cubicBezTo>
              <a:cubicBezTo>
                <a:pt x="2993782" y="1317382"/>
                <a:pt x="3011724" y="1315818"/>
                <a:pt x="3048000" y="1343025"/>
              </a:cubicBezTo>
              <a:cubicBezTo>
                <a:pt x="3058776" y="1351107"/>
                <a:pt x="3066348" y="1362834"/>
                <a:pt x="3076575" y="1371600"/>
              </a:cubicBezTo>
              <a:cubicBezTo>
                <a:pt x="3088628" y="1381931"/>
                <a:pt x="3102622" y="1389844"/>
                <a:pt x="3114675" y="1400175"/>
              </a:cubicBezTo>
              <a:cubicBezTo>
                <a:pt x="3124902" y="1408941"/>
                <a:pt x="3132042" y="1421278"/>
                <a:pt x="3143250" y="1428750"/>
              </a:cubicBezTo>
              <a:cubicBezTo>
                <a:pt x="3151604" y="1434319"/>
                <a:pt x="3163048" y="1433399"/>
                <a:pt x="3171825" y="1438275"/>
              </a:cubicBezTo>
              <a:cubicBezTo>
                <a:pt x="3191839" y="1449394"/>
                <a:pt x="3209342" y="1464595"/>
                <a:pt x="3228975" y="1476375"/>
              </a:cubicBezTo>
              <a:cubicBezTo>
                <a:pt x="3241151" y="1483680"/>
                <a:pt x="3255261" y="1487549"/>
                <a:pt x="3267075" y="1495425"/>
              </a:cubicBezTo>
              <a:cubicBezTo>
                <a:pt x="3283991" y="1506702"/>
                <a:pt x="3297460" y="1522750"/>
                <a:pt x="3314700" y="1533525"/>
              </a:cubicBezTo>
              <a:cubicBezTo>
                <a:pt x="3323214" y="1538846"/>
                <a:pt x="3334295" y="1538560"/>
                <a:pt x="3343275" y="1543050"/>
              </a:cubicBezTo>
              <a:cubicBezTo>
                <a:pt x="3415130" y="1578977"/>
                <a:pt x="3366583" y="1560451"/>
                <a:pt x="3419475" y="1590675"/>
              </a:cubicBezTo>
              <a:cubicBezTo>
                <a:pt x="3440212" y="1602525"/>
                <a:pt x="3483714" y="1622329"/>
                <a:pt x="3505200" y="1628775"/>
              </a:cubicBezTo>
              <a:cubicBezTo>
                <a:pt x="3520707" y="1633427"/>
                <a:pt x="3536950" y="1635125"/>
                <a:pt x="3552825" y="1638300"/>
              </a:cubicBezTo>
              <a:cubicBezTo>
                <a:pt x="3565525" y="1644650"/>
                <a:pt x="3578597" y="1650305"/>
                <a:pt x="3590925" y="1657350"/>
              </a:cubicBezTo>
              <a:cubicBezTo>
                <a:pt x="3600864" y="1663030"/>
                <a:pt x="3609039" y="1671751"/>
                <a:pt x="3619500" y="1676400"/>
              </a:cubicBezTo>
              <a:cubicBezTo>
                <a:pt x="3637850" y="1684555"/>
                <a:pt x="3659942" y="1684311"/>
                <a:pt x="3676650" y="1695450"/>
              </a:cubicBezTo>
              <a:cubicBezTo>
                <a:pt x="3736060" y="1735057"/>
                <a:pt x="3674647" y="1697735"/>
                <a:pt x="3733800" y="1724025"/>
              </a:cubicBezTo>
              <a:cubicBezTo>
                <a:pt x="3753263" y="1732675"/>
                <a:pt x="3771290" y="1744408"/>
                <a:pt x="3790950" y="1752600"/>
              </a:cubicBezTo>
              <a:cubicBezTo>
                <a:pt x="3809486" y="1760323"/>
                <a:pt x="3830139" y="1762670"/>
                <a:pt x="3848100" y="1771650"/>
              </a:cubicBezTo>
              <a:cubicBezTo>
                <a:pt x="3904161" y="1799680"/>
                <a:pt x="3872730" y="1786210"/>
                <a:pt x="3943350" y="1809750"/>
              </a:cubicBezTo>
              <a:cubicBezTo>
                <a:pt x="3962400" y="1816100"/>
                <a:pt x="3980693" y="1825499"/>
                <a:pt x="4000500" y="1828800"/>
              </a:cubicBezTo>
              <a:lnTo>
                <a:pt x="4057650" y="1838325"/>
              </a:lnTo>
            </a:path>
          </a:pathLst>
        </a:cu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466725</xdr:colOff>
      <xdr:row>5</xdr:row>
      <xdr:rowOff>28575</xdr:rowOff>
    </xdr:from>
    <xdr:to>
      <xdr:col>13</xdr:col>
      <xdr:colOff>249555</xdr:colOff>
      <xdr:row>15</xdr:row>
      <xdr:rowOff>55245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20C22F58-A1EE-47D2-81C5-67A67AFAAC32}"/>
            </a:ext>
          </a:extLst>
        </xdr:cNvPr>
        <xdr:cNvSpPr/>
      </xdr:nvSpPr>
      <xdr:spPr>
        <a:xfrm>
          <a:off x="4124325" y="933450"/>
          <a:ext cx="4050030" cy="1836420"/>
        </a:xfrm>
        <a:custGeom>
          <a:avLst/>
          <a:gdLst>
            <a:gd name="connsiteX0" fmla="*/ 0 w 4057650"/>
            <a:gd name="connsiteY0" fmla="*/ 1828800 h 1838325"/>
            <a:gd name="connsiteX1" fmla="*/ 47625 w 4057650"/>
            <a:gd name="connsiteY1" fmla="*/ 1819275 h 1838325"/>
            <a:gd name="connsiteX2" fmla="*/ 85725 w 4057650"/>
            <a:gd name="connsiteY2" fmla="*/ 1809750 h 1838325"/>
            <a:gd name="connsiteX3" fmla="*/ 295275 w 4057650"/>
            <a:gd name="connsiteY3" fmla="*/ 1790700 h 1838325"/>
            <a:gd name="connsiteX4" fmla="*/ 409575 w 4057650"/>
            <a:gd name="connsiteY4" fmla="*/ 1771650 h 1838325"/>
            <a:gd name="connsiteX5" fmla="*/ 447675 w 4057650"/>
            <a:gd name="connsiteY5" fmla="*/ 1762125 h 1838325"/>
            <a:gd name="connsiteX6" fmla="*/ 514350 w 4057650"/>
            <a:gd name="connsiteY6" fmla="*/ 1743075 h 1838325"/>
            <a:gd name="connsiteX7" fmla="*/ 571500 w 4057650"/>
            <a:gd name="connsiteY7" fmla="*/ 1733550 h 1838325"/>
            <a:gd name="connsiteX8" fmla="*/ 647700 w 4057650"/>
            <a:gd name="connsiteY8" fmla="*/ 1704975 h 1838325"/>
            <a:gd name="connsiteX9" fmla="*/ 695325 w 4057650"/>
            <a:gd name="connsiteY9" fmla="*/ 1647825 h 1838325"/>
            <a:gd name="connsiteX10" fmla="*/ 714375 w 4057650"/>
            <a:gd name="connsiteY10" fmla="*/ 1609725 h 1838325"/>
            <a:gd name="connsiteX11" fmla="*/ 742950 w 4057650"/>
            <a:gd name="connsiteY11" fmla="*/ 1581150 h 1838325"/>
            <a:gd name="connsiteX12" fmla="*/ 762000 w 4057650"/>
            <a:gd name="connsiteY12" fmla="*/ 1533525 h 1838325"/>
            <a:gd name="connsiteX13" fmla="*/ 790575 w 4057650"/>
            <a:gd name="connsiteY13" fmla="*/ 1495425 h 1838325"/>
            <a:gd name="connsiteX14" fmla="*/ 800100 w 4057650"/>
            <a:gd name="connsiteY14" fmla="*/ 1457325 h 1838325"/>
            <a:gd name="connsiteX15" fmla="*/ 838200 w 4057650"/>
            <a:gd name="connsiteY15" fmla="*/ 1390650 h 1838325"/>
            <a:gd name="connsiteX16" fmla="*/ 895350 w 4057650"/>
            <a:gd name="connsiteY16" fmla="*/ 1333500 h 1838325"/>
            <a:gd name="connsiteX17" fmla="*/ 933450 w 4057650"/>
            <a:gd name="connsiteY17" fmla="*/ 1295400 h 1838325"/>
            <a:gd name="connsiteX18" fmla="*/ 1000125 w 4057650"/>
            <a:gd name="connsiteY18" fmla="*/ 1257300 h 1838325"/>
            <a:gd name="connsiteX19" fmla="*/ 1038225 w 4057650"/>
            <a:gd name="connsiteY19" fmla="*/ 1228725 h 1838325"/>
            <a:gd name="connsiteX20" fmla="*/ 1066800 w 4057650"/>
            <a:gd name="connsiteY20" fmla="*/ 1219200 h 1838325"/>
            <a:gd name="connsiteX21" fmla="*/ 1114425 w 4057650"/>
            <a:gd name="connsiteY21" fmla="*/ 1152525 h 1838325"/>
            <a:gd name="connsiteX22" fmla="*/ 1143000 w 4057650"/>
            <a:gd name="connsiteY22" fmla="*/ 1133475 h 1838325"/>
            <a:gd name="connsiteX23" fmla="*/ 1171575 w 4057650"/>
            <a:gd name="connsiteY23" fmla="*/ 1066800 h 1838325"/>
            <a:gd name="connsiteX24" fmla="*/ 1181100 w 4057650"/>
            <a:gd name="connsiteY24" fmla="*/ 1038225 h 1838325"/>
            <a:gd name="connsiteX25" fmla="*/ 1209675 w 4057650"/>
            <a:gd name="connsiteY25" fmla="*/ 990600 h 1838325"/>
            <a:gd name="connsiteX26" fmla="*/ 1238250 w 4057650"/>
            <a:gd name="connsiteY26" fmla="*/ 923925 h 1838325"/>
            <a:gd name="connsiteX27" fmla="*/ 1266825 w 4057650"/>
            <a:gd name="connsiteY27" fmla="*/ 828675 h 1838325"/>
            <a:gd name="connsiteX28" fmla="*/ 1276350 w 4057650"/>
            <a:gd name="connsiteY28" fmla="*/ 781050 h 1838325"/>
            <a:gd name="connsiteX29" fmla="*/ 1295400 w 4057650"/>
            <a:gd name="connsiteY29" fmla="*/ 742950 h 1838325"/>
            <a:gd name="connsiteX30" fmla="*/ 1304925 w 4057650"/>
            <a:gd name="connsiteY30" fmla="*/ 714375 h 1838325"/>
            <a:gd name="connsiteX31" fmla="*/ 1352550 w 4057650"/>
            <a:gd name="connsiteY31" fmla="*/ 628650 h 1838325"/>
            <a:gd name="connsiteX32" fmla="*/ 1390650 w 4057650"/>
            <a:gd name="connsiteY32" fmla="*/ 542925 h 1838325"/>
            <a:gd name="connsiteX33" fmla="*/ 1409700 w 4057650"/>
            <a:gd name="connsiteY33" fmla="*/ 504825 h 1838325"/>
            <a:gd name="connsiteX34" fmla="*/ 1419225 w 4057650"/>
            <a:gd name="connsiteY34" fmla="*/ 438150 h 1838325"/>
            <a:gd name="connsiteX35" fmla="*/ 1438275 w 4057650"/>
            <a:gd name="connsiteY35" fmla="*/ 400050 h 1838325"/>
            <a:gd name="connsiteX36" fmla="*/ 1447800 w 4057650"/>
            <a:gd name="connsiteY36" fmla="*/ 371475 h 1838325"/>
            <a:gd name="connsiteX37" fmla="*/ 1466850 w 4057650"/>
            <a:gd name="connsiteY37" fmla="*/ 333375 h 1838325"/>
            <a:gd name="connsiteX38" fmla="*/ 1476375 w 4057650"/>
            <a:gd name="connsiteY38" fmla="*/ 295275 h 1838325"/>
            <a:gd name="connsiteX39" fmla="*/ 1504950 w 4057650"/>
            <a:gd name="connsiteY39" fmla="*/ 257175 h 1838325"/>
            <a:gd name="connsiteX40" fmla="*/ 1543050 w 4057650"/>
            <a:gd name="connsiteY40" fmla="*/ 200025 h 1838325"/>
            <a:gd name="connsiteX41" fmla="*/ 1666875 w 4057650"/>
            <a:gd name="connsiteY41" fmla="*/ 209550 h 1838325"/>
            <a:gd name="connsiteX42" fmla="*/ 1695450 w 4057650"/>
            <a:gd name="connsiteY42" fmla="*/ 219075 h 1838325"/>
            <a:gd name="connsiteX43" fmla="*/ 1752600 w 4057650"/>
            <a:gd name="connsiteY43" fmla="*/ 228600 h 1838325"/>
            <a:gd name="connsiteX44" fmla="*/ 1847850 w 4057650"/>
            <a:gd name="connsiteY44" fmla="*/ 200025 h 1838325"/>
            <a:gd name="connsiteX45" fmla="*/ 1876425 w 4057650"/>
            <a:gd name="connsiteY45" fmla="*/ 190500 h 1838325"/>
            <a:gd name="connsiteX46" fmla="*/ 1933575 w 4057650"/>
            <a:gd name="connsiteY46" fmla="*/ 123825 h 1838325"/>
            <a:gd name="connsiteX47" fmla="*/ 1962150 w 4057650"/>
            <a:gd name="connsiteY47" fmla="*/ 66675 h 1838325"/>
            <a:gd name="connsiteX48" fmla="*/ 1981200 w 4057650"/>
            <a:gd name="connsiteY48" fmla="*/ 28575 h 1838325"/>
            <a:gd name="connsiteX49" fmla="*/ 2047875 w 4057650"/>
            <a:gd name="connsiteY49" fmla="*/ 0 h 1838325"/>
            <a:gd name="connsiteX50" fmla="*/ 2124075 w 4057650"/>
            <a:gd name="connsiteY50" fmla="*/ 28575 h 1838325"/>
            <a:gd name="connsiteX51" fmla="*/ 2171700 w 4057650"/>
            <a:gd name="connsiteY51" fmla="*/ 57150 h 1838325"/>
            <a:gd name="connsiteX52" fmla="*/ 2238375 w 4057650"/>
            <a:gd name="connsiteY52" fmla="*/ 66675 h 1838325"/>
            <a:gd name="connsiteX53" fmla="*/ 2266950 w 4057650"/>
            <a:gd name="connsiteY53" fmla="*/ 76200 h 1838325"/>
            <a:gd name="connsiteX54" fmla="*/ 2295525 w 4057650"/>
            <a:gd name="connsiteY54" fmla="*/ 95250 h 1838325"/>
            <a:gd name="connsiteX55" fmla="*/ 2371725 w 4057650"/>
            <a:gd name="connsiteY55" fmla="*/ 114300 h 1838325"/>
            <a:gd name="connsiteX56" fmla="*/ 2400300 w 4057650"/>
            <a:gd name="connsiteY56" fmla="*/ 133350 h 1838325"/>
            <a:gd name="connsiteX57" fmla="*/ 2447925 w 4057650"/>
            <a:gd name="connsiteY57" fmla="*/ 152400 h 1838325"/>
            <a:gd name="connsiteX58" fmla="*/ 2533650 w 4057650"/>
            <a:gd name="connsiteY58" fmla="*/ 266700 h 1838325"/>
            <a:gd name="connsiteX59" fmla="*/ 2562225 w 4057650"/>
            <a:gd name="connsiteY59" fmla="*/ 323850 h 1838325"/>
            <a:gd name="connsiteX60" fmla="*/ 2571750 w 4057650"/>
            <a:gd name="connsiteY60" fmla="*/ 352425 h 1838325"/>
            <a:gd name="connsiteX61" fmla="*/ 2590800 w 4057650"/>
            <a:gd name="connsiteY61" fmla="*/ 381000 h 1838325"/>
            <a:gd name="connsiteX62" fmla="*/ 2609850 w 4057650"/>
            <a:gd name="connsiteY62" fmla="*/ 419100 h 1838325"/>
            <a:gd name="connsiteX63" fmla="*/ 2667000 w 4057650"/>
            <a:gd name="connsiteY63" fmla="*/ 504825 h 1838325"/>
            <a:gd name="connsiteX64" fmla="*/ 2676525 w 4057650"/>
            <a:gd name="connsiteY64" fmla="*/ 561975 h 1838325"/>
            <a:gd name="connsiteX65" fmla="*/ 2686050 w 4057650"/>
            <a:gd name="connsiteY65" fmla="*/ 590550 h 1838325"/>
            <a:gd name="connsiteX66" fmla="*/ 2695575 w 4057650"/>
            <a:gd name="connsiteY66" fmla="*/ 647700 h 1838325"/>
            <a:gd name="connsiteX67" fmla="*/ 2714625 w 4057650"/>
            <a:gd name="connsiteY67" fmla="*/ 723900 h 1838325"/>
            <a:gd name="connsiteX68" fmla="*/ 2724150 w 4057650"/>
            <a:gd name="connsiteY68" fmla="*/ 790575 h 1838325"/>
            <a:gd name="connsiteX69" fmla="*/ 2752725 w 4057650"/>
            <a:gd name="connsiteY69" fmla="*/ 866775 h 1838325"/>
            <a:gd name="connsiteX70" fmla="*/ 2762250 w 4057650"/>
            <a:gd name="connsiteY70" fmla="*/ 933450 h 1838325"/>
            <a:gd name="connsiteX71" fmla="*/ 2809875 w 4057650"/>
            <a:gd name="connsiteY71" fmla="*/ 1038225 h 1838325"/>
            <a:gd name="connsiteX72" fmla="*/ 2895600 w 4057650"/>
            <a:gd name="connsiteY72" fmla="*/ 1162050 h 1838325"/>
            <a:gd name="connsiteX73" fmla="*/ 2943225 w 4057650"/>
            <a:gd name="connsiteY73" fmla="*/ 1257300 h 1838325"/>
            <a:gd name="connsiteX74" fmla="*/ 2962275 w 4057650"/>
            <a:gd name="connsiteY74" fmla="*/ 1285875 h 1838325"/>
            <a:gd name="connsiteX75" fmla="*/ 3048000 w 4057650"/>
            <a:gd name="connsiteY75" fmla="*/ 1343025 h 1838325"/>
            <a:gd name="connsiteX76" fmla="*/ 3076575 w 4057650"/>
            <a:gd name="connsiteY76" fmla="*/ 1371600 h 1838325"/>
            <a:gd name="connsiteX77" fmla="*/ 3114675 w 4057650"/>
            <a:gd name="connsiteY77" fmla="*/ 1400175 h 1838325"/>
            <a:gd name="connsiteX78" fmla="*/ 3143250 w 4057650"/>
            <a:gd name="connsiteY78" fmla="*/ 1428750 h 1838325"/>
            <a:gd name="connsiteX79" fmla="*/ 3171825 w 4057650"/>
            <a:gd name="connsiteY79" fmla="*/ 1438275 h 1838325"/>
            <a:gd name="connsiteX80" fmla="*/ 3228975 w 4057650"/>
            <a:gd name="connsiteY80" fmla="*/ 1476375 h 1838325"/>
            <a:gd name="connsiteX81" fmla="*/ 3267075 w 4057650"/>
            <a:gd name="connsiteY81" fmla="*/ 1495425 h 1838325"/>
            <a:gd name="connsiteX82" fmla="*/ 3314700 w 4057650"/>
            <a:gd name="connsiteY82" fmla="*/ 1533525 h 1838325"/>
            <a:gd name="connsiteX83" fmla="*/ 3343275 w 4057650"/>
            <a:gd name="connsiteY83" fmla="*/ 1543050 h 1838325"/>
            <a:gd name="connsiteX84" fmla="*/ 3419475 w 4057650"/>
            <a:gd name="connsiteY84" fmla="*/ 1590675 h 1838325"/>
            <a:gd name="connsiteX85" fmla="*/ 3505200 w 4057650"/>
            <a:gd name="connsiteY85" fmla="*/ 1628775 h 1838325"/>
            <a:gd name="connsiteX86" fmla="*/ 3552825 w 4057650"/>
            <a:gd name="connsiteY86" fmla="*/ 1638300 h 1838325"/>
            <a:gd name="connsiteX87" fmla="*/ 3590925 w 4057650"/>
            <a:gd name="connsiteY87" fmla="*/ 1657350 h 1838325"/>
            <a:gd name="connsiteX88" fmla="*/ 3619500 w 4057650"/>
            <a:gd name="connsiteY88" fmla="*/ 1676400 h 1838325"/>
            <a:gd name="connsiteX89" fmla="*/ 3676650 w 4057650"/>
            <a:gd name="connsiteY89" fmla="*/ 1695450 h 1838325"/>
            <a:gd name="connsiteX90" fmla="*/ 3733800 w 4057650"/>
            <a:gd name="connsiteY90" fmla="*/ 1724025 h 1838325"/>
            <a:gd name="connsiteX91" fmla="*/ 3790950 w 4057650"/>
            <a:gd name="connsiteY91" fmla="*/ 1752600 h 1838325"/>
            <a:gd name="connsiteX92" fmla="*/ 3848100 w 4057650"/>
            <a:gd name="connsiteY92" fmla="*/ 1771650 h 1838325"/>
            <a:gd name="connsiteX93" fmla="*/ 3943350 w 4057650"/>
            <a:gd name="connsiteY93" fmla="*/ 1809750 h 1838325"/>
            <a:gd name="connsiteX94" fmla="*/ 4000500 w 4057650"/>
            <a:gd name="connsiteY94" fmla="*/ 1828800 h 1838325"/>
            <a:gd name="connsiteX95" fmla="*/ 4057650 w 4057650"/>
            <a:gd name="connsiteY95" fmla="*/ 1838325 h 18383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</a:cxnLst>
          <a:rect l="l" t="t" r="r" b="b"/>
          <a:pathLst>
            <a:path w="4057650" h="1838325">
              <a:moveTo>
                <a:pt x="0" y="1828800"/>
              </a:moveTo>
              <a:cubicBezTo>
                <a:pt x="15875" y="1825625"/>
                <a:pt x="31821" y="1822787"/>
                <a:pt x="47625" y="1819275"/>
              </a:cubicBezTo>
              <a:cubicBezTo>
                <a:pt x="60404" y="1816435"/>
                <a:pt x="72735" y="1811374"/>
                <a:pt x="85725" y="1809750"/>
              </a:cubicBezTo>
              <a:cubicBezTo>
                <a:pt x="256449" y="1788410"/>
                <a:pt x="141430" y="1811679"/>
                <a:pt x="295275" y="1790700"/>
              </a:cubicBezTo>
              <a:cubicBezTo>
                <a:pt x="333546" y="1785481"/>
                <a:pt x="372103" y="1781018"/>
                <a:pt x="409575" y="1771650"/>
              </a:cubicBezTo>
              <a:cubicBezTo>
                <a:pt x="422275" y="1768475"/>
                <a:pt x="435045" y="1765569"/>
                <a:pt x="447675" y="1762125"/>
              </a:cubicBezTo>
              <a:cubicBezTo>
                <a:pt x="469975" y="1756043"/>
                <a:pt x="491828" y="1748272"/>
                <a:pt x="514350" y="1743075"/>
              </a:cubicBezTo>
              <a:cubicBezTo>
                <a:pt x="533168" y="1738732"/>
                <a:pt x="552562" y="1737338"/>
                <a:pt x="571500" y="1733550"/>
              </a:cubicBezTo>
              <a:cubicBezTo>
                <a:pt x="599198" y="1728010"/>
                <a:pt x="624115" y="1721821"/>
                <a:pt x="647700" y="1704975"/>
              </a:cubicBezTo>
              <a:cubicBezTo>
                <a:pt x="666721" y="1691389"/>
                <a:pt x="683802" y="1667991"/>
                <a:pt x="695325" y="1647825"/>
              </a:cubicBezTo>
              <a:cubicBezTo>
                <a:pt x="702370" y="1635497"/>
                <a:pt x="706122" y="1621279"/>
                <a:pt x="714375" y="1609725"/>
              </a:cubicBezTo>
              <a:cubicBezTo>
                <a:pt x="722205" y="1598764"/>
                <a:pt x="733425" y="1590675"/>
                <a:pt x="742950" y="1581150"/>
              </a:cubicBezTo>
              <a:cubicBezTo>
                <a:pt x="749300" y="1565275"/>
                <a:pt x="753697" y="1548471"/>
                <a:pt x="762000" y="1533525"/>
              </a:cubicBezTo>
              <a:cubicBezTo>
                <a:pt x="769710" y="1519648"/>
                <a:pt x="783475" y="1509624"/>
                <a:pt x="790575" y="1495425"/>
              </a:cubicBezTo>
              <a:cubicBezTo>
                <a:pt x="796429" y="1483716"/>
                <a:pt x="795503" y="1469582"/>
                <a:pt x="800100" y="1457325"/>
              </a:cubicBezTo>
              <a:cubicBezTo>
                <a:pt x="804582" y="1445372"/>
                <a:pt x="827146" y="1401704"/>
                <a:pt x="838200" y="1390650"/>
              </a:cubicBezTo>
              <a:cubicBezTo>
                <a:pt x="921768" y="1307082"/>
                <a:pt x="801963" y="1458016"/>
                <a:pt x="895350" y="1333500"/>
              </a:cubicBezTo>
              <a:cubicBezTo>
                <a:pt x="916132" y="1271155"/>
                <a:pt x="887268" y="1332345"/>
                <a:pt x="933450" y="1295400"/>
              </a:cubicBezTo>
              <a:cubicBezTo>
                <a:pt x="994182" y="1246814"/>
                <a:pt x="895027" y="1278320"/>
                <a:pt x="1000125" y="1257300"/>
              </a:cubicBezTo>
              <a:cubicBezTo>
                <a:pt x="1012825" y="1247775"/>
                <a:pt x="1024442" y="1236601"/>
                <a:pt x="1038225" y="1228725"/>
              </a:cubicBezTo>
              <a:cubicBezTo>
                <a:pt x="1046942" y="1223744"/>
                <a:pt x="1059087" y="1225628"/>
                <a:pt x="1066800" y="1219200"/>
              </a:cubicBezTo>
              <a:cubicBezTo>
                <a:pt x="1111800" y="1181700"/>
                <a:pt x="1079678" y="1187272"/>
                <a:pt x="1114425" y="1152525"/>
              </a:cubicBezTo>
              <a:cubicBezTo>
                <a:pt x="1122520" y="1144430"/>
                <a:pt x="1133475" y="1139825"/>
                <a:pt x="1143000" y="1133475"/>
              </a:cubicBezTo>
              <a:cubicBezTo>
                <a:pt x="1162824" y="1054181"/>
                <a:pt x="1138686" y="1132579"/>
                <a:pt x="1171575" y="1066800"/>
              </a:cubicBezTo>
              <a:cubicBezTo>
                <a:pt x="1176065" y="1057820"/>
                <a:pt x="1176610" y="1047205"/>
                <a:pt x="1181100" y="1038225"/>
              </a:cubicBezTo>
              <a:cubicBezTo>
                <a:pt x="1189379" y="1021666"/>
                <a:pt x="1200150" y="1006475"/>
                <a:pt x="1209675" y="990600"/>
              </a:cubicBezTo>
              <a:cubicBezTo>
                <a:pt x="1234871" y="889814"/>
                <a:pt x="1200662" y="1008498"/>
                <a:pt x="1238250" y="923925"/>
              </a:cubicBezTo>
              <a:cubicBezTo>
                <a:pt x="1248803" y="900181"/>
                <a:pt x="1260668" y="856382"/>
                <a:pt x="1266825" y="828675"/>
              </a:cubicBezTo>
              <a:cubicBezTo>
                <a:pt x="1270337" y="812871"/>
                <a:pt x="1271230" y="796409"/>
                <a:pt x="1276350" y="781050"/>
              </a:cubicBezTo>
              <a:cubicBezTo>
                <a:pt x="1280840" y="767580"/>
                <a:pt x="1289807" y="756001"/>
                <a:pt x="1295400" y="742950"/>
              </a:cubicBezTo>
              <a:cubicBezTo>
                <a:pt x="1299355" y="733722"/>
                <a:pt x="1300970" y="723603"/>
                <a:pt x="1304925" y="714375"/>
              </a:cubicBezTo>
              <a:cubicBezTo>
                <a:pt x="1322053" y="674409"/>
                <a:pt x="1329970" y="669293"/>
                <a:pt x="1352550" y="628650"/>
              </a:cubicBezTo>
              <a:cubicBezTo>
                <a:pt x="1378603" y="581754"/>
                <a:pt x="1367101" y="595910"/>
                <a:pt x="1390650" y="542925"/>
              </a:cubicBezTo>
              <a:cubicBezTo>
                <a:pt x="1396417" y="529950"/>
                <a:pt x="1403350" y="517525"/>
                <a:pt x="1409700" y="504825"/>
              </a:cubicBezTo>
              <a:cubicBezTo>
                <a:pt x="1412875" y="482600"/>
                <a:pt x="1413318" y="459810"/>
                <a:pt x="1419225" y="438150"/>
              </a:cubicBezTo>
              <a:cubicBezTo>
                <a:pt x="1422961" y="424451"/>
                <a:pt x="1432682" y="413101"/>
                <a:pt x="1438275" y="400050"/>
              </a:cubicBezTo>
              <a:cubicBezTo>
                <a:pt x="1442230" y="390822"/>
                <a:pt x="1443845" y="380703"/>
                <a:pt x="1447800" y="371475"/>
              </a:cubicBezTo>
              <a:cubicBezTo>
                <a:pt x="1453393" y="358424"/>
                <a:pt x="1461864" y="346670"/>
                <a:pt x="1466850" y="333375"/>
              </a:cubicBezTo>
              <a:cubicBezTo>
                <a:pt x="1471447" y="321118"/>
                <a:pt x="1470521" y="306984"/>
                <a:pt x="1476375" y="295275"/>
              </a:cubicBezTo>
              <a:cubicBezTo>
                <a:pt x="1483475" y="281076"/>
                <a:pt x="1495846" y="270180"/>
                <a:pt x="1504950" y="257175"/>
              </a:cubicBezTo>
              <a:cubicBezTo>
                <a:pt x="1518080" y="238418"/>
                <a:pt x="1543050" y="200025"/>
                <a:pt x="1543050" y="200025"/>
              </a:cubicBezTo>
              <a:cubicBezTo>
                <a:pt x="1584325" y="203200"/>
                <a:pt x="1625798" y="204415"/>
                <a:pt x="1666875" y="209550"/>
              </a:cubicBezTo>
              <a:cubicBezTo>
                <a:pt x="1676838" y="210795"/>
                <a:pt x="1685649" y="216897"/>
                <a:pt x="1695450" y="219075"/>
              </a:cubicBezTo>
              <a:cubicBezTo>
                <a:pt x="1714303" y="223265"/>
                <a:pt x="1733550" y="225425"/>
                <a:pt x="1752600" y="228600"/>
              </a:cubicBezTo>
              <a:lnTo>
                <a:pt x="1847850" y="200025"/>
              </a:lnTo>
              <a:cubicBezTo>
                <a:pt x="1857446" y="197072"/>
                <a:pt x="1869325" y="197600"/>
                <a:pt x="1876425" y="190500"/>
              </a:cubicBezTo>
              <a:cubicBezTo>
                <a:pt x="1979819" y="87106"/>
                <a:pt x="1846974" y="181559"/>
                <a:pt x="1933575" y="123825"/>
              </a:cubicBezTo>
              <a:cubicBezTo>
                <a:pt x="1951039" y="71434"/>
                <a:pt x="1932607" y="118376"/>
                <a:pt x="1962150" y="66675"/>
              </a:cubicBezTo>
              <a:cubicBezTo>
                <a:pt x="1969195" y="54347"/>
                <a:pt x="1971160" y="38615"/>
                <a:pt x="1981200" y="28575"/>
              </a:cubicBezTo>
              <a:cubicBezTo>
                <a:pt x="1992970" y="16805"/>
                <a:pt x="2030798" y="5692"/>
                <a:pt x="2047875" y="0"/>
              </a:cubicBezTo>
              <a:cubicBezTo>
                <a:pt x="2073275" y="9525"/>
                <a:pt x="2099445" y="17207"/>
                <a:pt x="2124075" y="28575"/>
              </a:cubicBezTo>
              <a:cubicBezTo>
                <a:pt x="2140884" y="36333"/>
                <a:pt x="2154137" y="51296"/>
                <a:pt x="2171700" y="57150"/>
              </a:cubicBezTo>
              <a:cubicBezTo>
                <a:pt x="2192999" y="64250"/>
                <a:pt x="2216150" y="63500"/>
                <a:pt x="2238375" y="66675"/>
              </a:cubicBezTo>
              <a:cubicBezTo>
                <a:pt x="2247900" y="69850"/>
                <a:pt x="2257970" y="71710"/>
                <a:pt x="2266950" y="76200"/>
              </a:cubicBezTo>
              <a:cubicBezTo>
                <a:pt x="2277189" y="81320"/>
                <a:pt x="2284806" y="91230"/>
                <a:pt x="2295525" y="95250"/>
              </a:cubicBezTo>
              <a:cubicBezTo>
                <a:pt x="2338999" y="111553"/>
                <a:pt x="2336471" y="96673"/>
                <a:pt x="2371725" y="114300"/>
              </a:cubicBezTo>
              <a:cubicBezTo>
                <a:pt x="2381964" y="119420"/>
                <a:pt x="2390061" y="128230"/>
                <a:pt x="2400300" y="133350"/>
              </a:cubicBezTo>
              <a:cubicBezTo>
                <a:pt x="2415593" y="140996"/>
                <a:pt x="2432050" y="146050"/>
                <a:pt x="2447925" y="152400"/>
              </a:cubicBezTo>
              <a:cubicBezTo>
                <a:pt x="2449446" y="154355"/>
                <a:pt x="2517346" y="237352"/>
                <a:pt x="2533650" y="266700"/>
              </a:cubicBezTo>
              <a:cubicBezTo>
                <a:pt x="2543993" y="285318"/>
                <a:pt x="2553575" y="304387"/>
                <a:pt x="2562225" y="323850"/>
              </a:cubicBezTo>
              <a:cubicBezTo>
                <a:pt x="2566303" y="333025"/>
                <a:pt x="2567260" y="343445"/>
                <a:pt x="2571750" y="352425"/>
              </a:cubicBezTo>
              <a:cubicBezTo>
                <a:pt x="2576870" y="362664"/>
                <a:pt x="2585120" y="371061"/>
                <a:pt x="2590800" y="381000"/>
              </a:cubicBezTo>
              <a:cubicBezTo>
                <a:pt x="2597845" y="393328"/>
                <a:pt x="2602954" y="406688"/>
                <a:pt x="2609850" y="419100"/>
              </a:cubicBezTo>
              <a:cubicBezTo>
                <a:pt x="2636095" y="466341"/>
                <a:pt x="2636319" y="463917"/>
                <a:pt x="2667000" y="504825"/>
              </a:cubicBezTo>
              <a:cubicBezTo>
                <a:pt x="2670175" y="523875"/>
                <a:pt x="2672335" y="543122"/>
                <a:pt x="2676525" y="561975"/>
              </a:cubicBezTo>
              <a:cubicBezTo>
                <a:pt x="2678703" y="571776"/>
                <a:pt x="2683872" y="580749"/>
                <a:pt x="2686050" y="590550"/>
              </a:cubicBezTo>
              <a:cubicBezTo>
                <a:pt x="2690240" y="609403"/>
                <a:pt x="2691528" y="628816"/>
                <a:pt x="2695575" y="647700"/>
              </a:cubicBezTo>
              <a:cubicBezTo>
                <a:pt x="2701061" y="673301"/>
                <a:pt x="2710922" y="697981"/>
                <a:pt x="2714625" y="723900"/>
              </a:cubicBezTo>
              <a:cubicBezTo>
                <a:pt x="2717800" y="746125"/>
                <a:pt x="2719747" y="768560"/>
                <a:pt x="2724150" y="790575"/>
              </a:cubicBezTo>
              <a:cubicBezTo>
                <a:pt x="2727136" y="805507"/>
                <a:pt x="2750289" y="860684"/>
                <a:pt x="2752725" y="866775"/>
              </a:cubicBezTo>
              <a:cubicBezTo>
                <a:pt x="2755900" y="889000"/>
                <a:pt x="2757847" y="911435"/>
                <a:pt x="2762250" y="933450"/>
              </a:cubicBezTo>
              <a:cubicBezTo>
                <a:pt x="2767924" y="961818"/>
                <a:pt x="2803578" y="1029829"/>
                <a:pt x="2809875" y="1038225"/>
              </a:cubicBezTo>
              <a:cubicBezTo>
                <a:pt x="2832923" y="1068956"/>
                <a:pt x="2886178" y="1138494"/>
                <a:pt x="2895600" y="1162050"/>
              </a:cubicBezTo>
              <a:cubicBezTo>
                <a:pt x="2918969" y="1220473"/>
                <a:pt x="2908621" y="1201934"/>
                <a:pt x="2943225" y="1257300"/>
              </a:cubicBezTo>
              <a:cubicBezTo>
                <a:pt x="2949292" y="1267008"/>
                <a:pt x="2954180" y="1277780"/>
                <a:pt x="2962275" y="1285875"/>
              </a:cubicBezTo>
              <a:cubicBezTo>
                <a:pt x="2993782" y="1317382"/>
                <a:pt x="3011724" y="1315818"/>
                <a:pt x="3048000" y="1343025"/>
              </a:cubicBezTo>
              <a:cubicBezTo>
                <a:pt x="3058776" y="1351107"/>
                <a:pt x="3066348" y="1362834"/>
                <a:pt x="3076575" y="1371600"/>
              </a:cubicBezTo>
              <a:cubicBezTo>
                <a:pt x="3088628" y="1381931"/>
                <a:pt x="3102622" y="1389844"/>
                <a:pt x="3114675" y="1400175"/>
              </a:cubicBezTo>
              <a:cubicBezTo>
                <a:pt x="3124902" y="1408941"/>
                <a:pt x="3132042" y="1421278"/>
                <a:pt x="3143250" y="1428750"/>
              </a:cubicBezTo>
              <a:cubicBezTo>
                <a:pt x="3151604" y="1434319"/>
                <a:pt x="3163048" y="1433399"/>
                <a:pt x="3171825" y="1438275"/>
              </a:cubicBezTo>
              <a:cubicBezTo>
                <a:pt x="3191839" y="1449394"/>
                <a:pt x="3209342" y="1464595"/>
                <a:pt x="3228975" y="1476375"/>
              </a:cubicBezTo>
              <a:cubicBezTo>
                <a:pt x="3241151" y="1483680"/>
                <a:pt x="3255261" y="1487549"/>
                <a:pt x="3267075" y="1495425"/>
              </a:cubicBezTo>
              <a:cubicBezTo>
                <a:pt x="3283991" y="1506702"/>
                <a:pt x="3297460" y="1522750"/>
                <a:pt x="3314700" y="1533525"/>
              </a:cubicBezTo>
              <a:cubicBezTo>
                <a:pt x="3323214" y="1538846"/>
                <a:pt x="3334295" y="1538560"/>
                <a:pt x="3343275" y="1543050"/>
              </a:cubicBezTo>
              <a:cubicBezTo>
                <a:pt x="3415130" y="1578977"/>
                <a:pt x="3366583" y="1560451"/>
                <a:pt x="3419475" y="1590675"/>
              </a:cubicBezTo>
              <a:cubicBezTo>
                <a:pt x="3440212" y="1602525"/>
                <a:pt x="3483714" y="1622329"/>
                <a:pt x="3505200" y="1628775"/>
              </a:cubicBezTo>
              <a:cubicBezTo>
                <a:pt x="3520707" y="1633427"/>
                <a:pt x="3536950" y="1635125"/>
                <a:pt x="3552825" y="1638300"/>
              </a:cubicBezTo>
              <a:cubicBezTo>
                <a:pt x="3565525" y="1644650"/>
                <a:pt x="3578597" y="1650305"/>
                <a:pt x="3590925" y="1657350"/>
              </a:cubicBezTo>
              <a:cubicBezTo>
                <a:pt x="3600864" y="1663030"/>
                <a:pt x="3609039" y="1671751"/>
                <a:pt x="3619500" y="1676400"/>
              </a:cubicBezTo>
              <a:cubicBezTo>
                <a:pt x="3637850" y="1684555"/>
                <a:pt x="3659942" y="1684311"/>
                <a:pt x="3676650" y="1695450"/>
              </a:cubicBezTo>
              <a:cubicBezTo>
                <a:pt x="3736060" y="1735057"/>
                <a:pt x="3674647" y="1697735"/>
                <a:pt x="3733800" y="1724025"/>
              </a:cubicBezTo>
              <a:cubicBezTo>
                <a:pt x="3753263" y="1732675"/>
                <a:pt x="3771290" y="1744408"/>
                <a:pt x="3790950" y="1752600"/>
              </a:cubicBezTo>
              <a:cubicBezTo>
                <a:pt x="3809486" y="1760323"/>
                <a:pt x="3830139" y="1762670"/>
                <a:pt x="3848100" y="1771650"/>
              </a:cubicBezTo>
              <a:cubicBezTo>
                <a:pt x="3904161" y="1799680"/>
                <a:pt x="3872730" y="1786210"/>
                <a:pt x="3943350" y="1809750"/>
              </a:cubicBezTo>
              <a:cubicBezTo>
                <a:pt x="3962400" y="1816100"/>
                <a:pt x="3980693" y="1825499"/>
                <a:pt x="4000500" y="1828800"/>
              </a:cubicBezTo>
              <a:lnTo>
                <a:pt x="4057650" y="1838325"/>
              </a:lnTo>
            </a:path>
          </a:pathLst>
        </a:cu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xlidars.com/lowest-cost-finance-grade-hub-height-wind-data-available-thats-zephir-direct/" TargetMode="External"/><Relationship Id="rId2" Type="http://schemas.openxmlformats.org/officeDocument/2006/relationships/hyperlink" Target="https://shop.profec-ventus.com/product_info.php?info=p891_zx300-lidar-rental-service--monthly-.html" TargetMode="External"/><Relationship Id="rId1" Type="http://schemas.openxmlformats.org/officeDocument/2006/relationships/hyperlink" Target="https://shop.profec-ventus.com/product_info.php?info=p423_windcube-lidar-rental-service--monthly-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hinaray.com/how-much-does-a-vtol-fixed-wing-drone-cost-in-2025/" TargetMode="External"/><Relationship Id="rId2" Type="http://schemas.openxmlformats.org/officeDocument/2006/relationships/hyperlink" Target="https://hinaray.com/how-much-does-a-vtol-fixed-wing-drone-cost-in-2025/" TargetMode="External"/><Relationship Id="rId1" Type="http://schemas.openxmlformats.org/officeDocument/2006/relationships/hyperlink" Target="https://store.foxtech.com/ayk-320-vtol-industrial-drone-solutions/" TargetMode="External"/><Relationship Id="rId4" Type="http://schemas.openxmlformats.org/officeDocument/2006/relationships/hyperlink" Target="https://news.dronedesk.io/rudgKN?utm_source=chatgp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uters.com/business/energy/germanys-onshore-wind-auction-sets-record-with-nearly-3-gw-bids-2024-09-17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B7C8-41C4-4713-AB12-3B172E688CC6}">
  <dimension ref="A2:G67"/>
  <sheetViews>
    <sheetView showGridLines="0" zoomScale="78" zoomScaleNormal="70" workbookViewId="0">
      <selection activeCell="B3" sqref="B3"/>
    </sheetView>
  </sheetViews>
  <sheetFormatPr defaultRowHeight="14.4" x14ac:dyDescent="0.3"/>
  <cols>
    <col min="2" max="2" width="5.33203125" customWidth="1"/>
    <col min="3" max="3" width="20.6640625" customWidth="1"/>
    <col min="4" max="4" width="24" customWidth="1"/>
    <col min="5" max="5" width="23.6640625" customWidth="1"/>
    <col min="6" max="6" width="26" customWidth="1"/>
    <col min="7" max="7" width="22.6640625" customWidth="1"/>
  </cols>
  <sheetData>
    <row r="2" spans="1:7" ht="18" x14ac:dyDescent="0.35">
      <c r="B2" s="28" t="s">
        <v>262</v>
      </c>
    </row>
    <row r="3" spans="1:7" ht="15" thickBot="1" x14ac:dyDescent="0.35"/>
    <row r="4" spans="1:7" x14ac:dyDescent="0.3">
      <c r="B4" s="93" t="s">
        <v>80</v>
      </c>
      <c r="C4" s="94"/>
      <c r="D4" s="113" t="s">
        <v>154</v>
      </c>
      <c r="E4" s="113" t="s">
        <v>155</v>
      </c>
      <c r="F4" s="113" t="s">
        <v>156</v>
      </c>
      <c r="G4" s="113" t="s">
        <v>157</v>
      </c>
    </row>
    <row r="5" spans="1:7" x14ac:dyDescent="0.3">
      <c r="B5" s="31">
        <v>1</v>
      </c>
      <c r="C5" s="32" t="s">
        <v>82</v>
      </c>
      <c r="D5" s="35" t="s">
        <v>165</v>
      </c>
      <c r="E5" s="35" t="s">
        <v>165</v>
      </c>
      <c r="F5" s="35" t="s">
        <v>83</v>
      </c>
      <c r="G5" s="35" t="s">
        <v>83</v>
      </c>
    </row>
    <row r="6" spans="1:7" x14ac:dyDescent="0.3">
      <c r="B6" s="31"/>
      <c r="C6" s="32"/>
      <c r="D6" s="35" t="s">
        <v>234</v>
      </c>
      <c r="E6" s="35" t="s">
        <v>234</v>
      </c>
      <c r="F6" s="35" t="s">
        <v>91</v>
      </c>
      <c r="G6" s="35" t="s">
        <v>91</v>
      </c>
    </row>
    <row r="7" spans="1:7" x14ac:dyDescent="0.3">
      <c r="B7" s="44"/>
      <c r="C7" s="45"/>
      <c r="D7" s="85" t="s">
        <v>135</v>
      </c>
      <c r="E7" s="85" t="s">
        <v>135</v>
      </c>
      <c r="F7" s="85" t="s">
        <v>130</v>
      </c>
      <c r="G7" s="85" t="s">
        <v>130</v>
      </c>
    </row>
    <row r="8" spans="1:7" x14ac:dyDescent="0.3">
      <c r="B8" s="188">
        <v>2</v>
      </c>
      <c r="C8" s="190" t="s">
        <v>137</v>
      </c>
      <c r="D8" s="36" t="s">
        <v>84</v>
      </c>
      <c r="E8" s="36" t="s">
        <v>90</v>
      </c>
      <c r="F8" s="36" t="s">
        <v>90</v>
      </c>
      <c r="G8" s="40">
        <v>0</v>
      </c>
    </row>
    <row r="9" spans="1:7" x14ac:dyDescent="0.3">
      <c r="B9" s="188"/>
      <c r="C9" s="190"/>
      <c r="D9" s="86" t="s">
        <v>127</v>
      </c>
      <c r="E9" s="86" t="s">
        <v>128</v>
      </c>
      <c r="F9" s="86" t="s">
        <v>128</v>
      </c>
      <c r="G9" s="40"/>
    </row>
    <row r="10" spans="1:7" ht="15" thickBot="1" x14ac:dyDescent="0.35">
      <c r="B10" s="189"/>
      <c r="C10" s="191"/>
      <c r="D10" s="85" t="s">
        <v>136</v>
      </c>
      <c r="E10" s="85" t="s">
        <v>136</v>
      </c>
      <c r="F10" s="87" t="s">
        <v>129</v>
      </c>
      <c r="G10" s="46"/>
    </row>
    <row r="11" spans="1:7" x14ac:dyDescent="0.3">
      <c r="B11" s="192" t="s">
        <v>96</v>
      </c>
      <c r="C11" s="193"/>
      <c r="D11" s="193"/>
      <c r="E11" s="193"/>
      <c r="F11" s="193"/>
      <c r="G11" s="194"/>
    </row>
    <row r="12" spans="1:7" x14ac:dyDescent="0.3">
      <c r="B12" s="31"/>
      <c r="C12" s="32" t="s">
        <v>224</v>
      </c>
      <c r="D12" s="78">
        <f>C44</f>
        <v>468892.96510355844</v>
      </c>
      <c r="E12" s="3">
        <f>C45</f>
        <v>470760.89447398402</v>
      </c>
      <c r="F12" s="37">
        <f>C46</f>
        <v>471390.14329943666</v>
      </c>
      <c r="G12" s="37">
        <f>C47</f>
        <v>472423.10833507078</v>
      </c>
    </row>
    <row r="13" spans="1:7" x14ac:dyDescent="0.3">
      <c r="B13" s="31"/>
      <c r="C13" s="32" t="s">
        <v>231</v>
      </c>
      <c r="D13" s="78">
        <f>D12-$D$12</f>
        <v>0</v>
      </c>
      <c r="E13" s="78">
        <f t="shared" ref="E13:G13" si="0">E12-$D$12</f>
        <v>1867.9293704255833</v>
      </c>
      <c r="F13" s="78">
        <f t="shared" si="0"/>
        <v>2497.1781958782231</v>
      </c>
      <c r="G13" s="78">
        <f t="shared" si="0"/>
        <v>3530.1432315123384</v>
      </c>
    </row>
    <row r="14" spans="1:7" x14ac:dyDescent="0.3">
      <c r="B14" s="31"/>
      <c r="C14" s="71" t="s">
        <v>232</v>
      </c>
      <c r="D14" s="116">
        <f>(D12-$D$12)/$D$12</f>
        <v>0</v>
      </c>
      <c r="E14" s="116">
        <f t="shared" ref="E14:G14" si="1">(E12-$D$12)/$D$12</f>
        <v>3.9837009924280639E-3</v>
      </c>
      <c r="F14" s="116">
        <f t="shared" si="1"/>
        <v>5.3256891907659627E-3</v>
      </c>
      <c r="G14" s="116">
        <f t="shared" si="1"/>
        <v>7.5286760396003818E-3</v>
      </c>
    </row>
    <row r="15" spans="1:7" x14ac:dyDescent="0.3">
      <c r="B15" s="31"/>
      <c r="C15" s="32" t="s">
        <v>206</v>
      </c>
      <c r="D15" s="78">
        <f>E44</f>
        <v>8916.1348131773702</v>
      </c>
      <c r="E15" s="95">
        <f>E45</f>
        <v>5515.1485623816225</v>
      </c>
      <c r="F15" s="37">
        <f>E46</f>
        <v>2385.3671554076936</v>
      </c>
      <c r="G15" s="37">
        <f>E47</f>
        <v>92.086515442365908</v>
      </c>
    </row>
    <row r="16" spans="1:7" x14ac:dyDescent="0.3">
      <c r="A16" s="100"/>
      <c r="B16" s="31"/>
      <c r="C16" s="32" t="s">
        <v>207</v>
      </c>
      <c r="D16" s="97">
        <f>D15/D12</f>
        <v>1.9015288086500031E-2</v>
      </c>
      <c r="E16" s="97">
        <f>E15/E12</f>
        <v>1.1715392308751784E-2</v>
      </c>
      <c r="F16" s="97">
        <f>F15/F12</f>
        <v>5.060282208515462E-3</v>
      </c>
      <c r="G16" s="97">
        <f>G15/G12</f>
        <v>1.9492381684482003E-4</v>
      </c>
    </row>
    <row r="17" spans="2:7" x14ac:dyDescent="0.3">
      <c r="B17" s="31"/>
      <c r="C17" s="32" t="s">
        <v>230</v>
      </c>
      <c r="D17" s="78">
        <f>D44</f>
        <v>457106.35618618457</v>
      </c>
      <c r="E17" s="95">
        <f>D45</f>
        <v>463535.7978336633</v>
      </c>
      <c r="F17" s="37">
        <f>D46</f>
        <v>468140.86127648462</v>
      </c>
      <c r="G17" s="37">
        <f>D47</f>
        <v>472303.48972004623</v>
      </c>
    </row>
    <row r="18" spans="2:7" x14ac:dyDescent="0.3">
      <c r="B18" s="31"/>
      <c r="C18" s="32" t="s">
        <v>208</v>
      </c>
      <c r="D18" s="78">
        <f>D17-$D$17</f>
        <v>0</v>
      </c>
      <c r="E18" s="78">
        <f t="shared" ref="E18:G18" si="2">E17-$D$17</f>
        <v>6429.4416474787286</v>
      </c>
      <c r="F18" s="78">
        <f t="shared" si="2"/>
        <v>11034.505090300052</v>
      </c>
      <c r="G18" s="78">
        <f t="shared" si="2"/>
        <v>15197.133533861663</v>
      </c>
    </row>
    <row r="19" spans="2:7" x14ac:dyDescent="0.3">
      <c r="B19" s="31"/>
      <c r="C19" s="71" t="s">
        <v>209</v>
      </c>
      <c r="D19" s="108">
        <f>D17-$D$17</f>
        <v>0</v>
      </c>
      <c r="E19" s="116">
        <f>(E17-$D$17)/$D$17</f>
        <v>1.4065526677690617E-2</v>
      </c>
      <c r="F19" s="116">
        <f t="shared" ref="F19:G19" si="3">(F17-$D$17)/$D$17</f>
        <v>2.413990735627744E-2</v>
      </c>
      <c r="G19" s="116">
        <f t="shared" si="3"/>
        <v>3.324638419088554E-2</v>
      </c>
    </row>
    <row r="20" spans="2:7" x14ac:dyDescent="0.3">
      <c r="B20" s="31"/>
      <c r="C20" s="71" t="s">
        <v>210</v>
      </c>
      <c r="D20" s="108">
        <f>D17-$D$17</f>
        <v>0</v>
      </c>
      <c r="E20" s="108">
        <f t="shared" ref="E20:G20" si="4">E17-$D$17</f>
        <v>6429.4416474787286</v>
      </c>
      <c r="F20" s="108">
        <f t="shared" si="4"/>
        <v>11034.505090300052</v>
      </c>
      <c r="G20" s="108">
        <f t="shared" si="4"/>
        <v>15197.133533861663</v>
      </c>
    </row>
    <row r="21" spans="2:7" x14ac:dyDescent="0.3">
      <c r="B21" s="31"/>
      <c r="C21" s="71" t="s">
        <v>211</v>
      </c>
      <c r="D21" s="108">
        <f>D17-D20</f>
        <v>457106.35618618457</v>
      </c>
      <c r="E21" s="108">
        <f t="shared" ref="E21:G21" si="5">E17-E20</f>
        <v>457106.35618618457</v>
      </c>
      <c r="F21" s="108">
        <f t="shared" si="5"/>
        <v>457106.35618618457</v>
      </c>
      <c r="G21" s="108">
        <f t="shared" si="5"/>
        <v>457106.35618618457</v>
      </c>
    </row>
    <row r="22" spans="2:7" ht="15" thickBot="1" x14ac:dyDescent="0.35">
      <c r="B22" s="31"/>
      <c r="C22" s="32" t="s">
        <v>212</v>
      </c>
      <c r="D22" s="38">
        <f>D17/D12</f>
        <v>0.97486290092927563</v>
      </c>
      <c r="E22" s="96">
        <f>E17/E12</f>
        <v>0.9846523007218051</v>
      </c>
      <c r="F22" s="38">
        <f>F17/F12</f>
        <v>0.99310702171197496</v>
      </c>
      <c r="G22" s="38">
        <f>G17/G12</f>
        <v>0.99974679770545916</v>
      </c>
    </row>
    <row r="23" spans="2:7" x14ac:dyDescent="0.3">
      <c r="B23" s="47" t="s">
        <v>140</v>
      </c>
      <c r="C23" s="48"/>
      <c r="D23" s="49"/>
      <c r="E23" s="49"/>
      <c r="F23" s="49"/>
      <c r="G23" s="49"/>
    </row>
    <row r="24" spans="2:7" x14ac:dyDescent="0.3">
      <c r="B24" s="31"/>
      <c r="C24" s="71" t="s">
        <v>213</v>
      </c>
      <c r="D24" s="37">
        <f>'Renting LiDAR - UAVs'!H11</f>
        <v>75589.5</v>
      </c>
      <c r="E24" s="37">
        <f>'Renting LiDAR - UAVs'!Q11</f>
        <v>148180</v>
      </c>
      <c r="F24" s="37">
        <f>'Renting LiDAR - UAVs'!H29</f>
        <v>126832.5</v>
      </c>
      <c r="G24" s="37">
        <f>'Renting LiDAR - UAVs'!Q29</f>
        <v>205332.5</v>
      </c>
    </row>
    <row r="25" spans="2:7" x14ac:dyDescent="0.3">
      <c r="B25" s="31"/>
      <c r="C25" s="32" t="s">
        <v>214</v>
      </c>
      <c r="D25" s="79">
        <f>'COMPARISON RESULTs'!D24-'COMPARISON RESULTs'!$D$24</f>
        <v>0</v>
      </c>
      <c r="E25" s="80">
        <f>'COMPARISON RESULTs'!E24-'COMPARISON RESULTs'!$D$24</f>
        <v>72590.5</v>
      </c>
      <c r="F25" s="80">
        <f>'COMPARISON RESULTs'!F24-'COMPARISON RESULTs'!$D$24</f>
        <v>51243</v>
      </c>
      <c r="G25" s="80">
        <f>'COMPARISON RESULTs'!G24-'COMPARISON RESULTs'!$D$24</f>
        <v>129743</v>
      </c>
    </row>
    <row r="26" spans="2:7" ht="15" thickBot="1" x14ac:dyDescent="0.35">
      <c r="B26" s="33"/>
      <c r="C26" s="34" t="s">
        <v>215</v>
      </c>
      <c r="D26" s="81">
        <f>D25/$D$24</f>
        <v>0</v>
      </c>
      <c r="E26" s="81">
        <f>E25/$D$24</f>
        <v>0.96032517743866541</v>
      </c>
      <c r="F26" s="81">
        <f>F25/$D$24</f>
        <v>0.67791161470839201</v>
      </c>
      <c r="G26" s="81">
        <f>G25/$D$24</f>
        <v>1.7164156397383235</v>
      </c>
    </row>
    <row r="27" spans="2:7" x14ac:dyDescent="0.3">
      <c r="B27" s="47" t="s">
        <v>141</v>
      </c>
      <c r="C27" s="48"/>
      <c r="D27" s="49"/>
      <c r="E27" s="49"/>
      <c r="F27" s="49"/>
      <c r="G27" s="49"/>
    </row>
    <row r="28" spans="2:7" x14ac:dyDescent="0.3">
      <c r="B28" s="23"/>
      <c r="C28" s="71" t="s">
        <v>216</v>
      </c>
      <c r="D28" s="134">
        <f>'Project finance'!J20</f>
        <v>0.88506568247193007</v>
      </c>
      <c r="E28" s="134">
        <f>'Project finance'!K20</f>
        <v>0.89960621021861598</v>
      </c>
      <c r="F28" s="134">
        <f>'Project finance'!L20</f>
        <v>0.91002080862963841</v>
      </c>
      <c r="G28" s="134">
        <f>'Project finance'!M20</f>
        <v>0.91943481651731951</v>
      </c>
    </row>
    <row r="29" spans="2:7" x14ac:dyDescent="0.3">
      <c r="B29" s="23"/>
      <c r="C29" s="71" t="s">
        <v>217</v>
      </c>
      <c r="D29" s="134">
        <f>D28-$D$28</f>
        <v>0</v>
      </c>
      <c r="E29" s="134">
        <f t="shared" ref="E29:G29" si="6">E28-$D$28</f>
        <v>1.4540527746685905E-2</v>
      </c>
      <c r="F29" s="134">
        <f t="shared" si="6"/>
        <v>2.4955126157708341E-2</v>
      </c>
      <c r="G29" s="134">
        <f t="shared" si="6"/>
        <v>3.4369134045389438E-2</v>
      </c>
    </row>
    <row r="30" spans="2:7" x14ac:dyDescent="0.3">
      <c r="B30" s="23"/>
      <c r="C30" s="71" t="s">
        <v>218</v>
      </c>
      <c r="D30" s="135">
        <f>'Project finance'!J22</f>
        <v>4.6988292255729827E-2</v>
      </c>
      <c r="E30" s="135">
        <f>'Project finance'!K22</f>
        <v>4.658377324785766E-2</v>
      </c>
      <c r="F30" s="135">
        <f>'Project finance'!L22</f>
        <v>4.6320776631879411E-2</v>
      </c>
      <c r="G30" s="135">
        <f>'Project finance'!M22</f>
        <v>4.6047392635133029E-2</v>
      </c>
    </row>
    <row r="31" spans="2:7" x14ac:dyDescent="0.3">
      <c r="B31" s="23"/>
      <c r="C31" t="s">
        <v>219</v>
      </c>
      <c r="D31" s="92">
        <f>'Project finance'!J22-'Project finance'!$J$22</f>
        <v>0</v>
      </c>
      <c r="E31" s="92">
        <f>'Project finance'!K22-'Project finance'!$J$22</f>
        <v>-4.0451900787216721E-4</v>
      </c>
      <c r="F31" s="92">
        <f>'Project finance'!L22-'Project finance'!$J$22</f>
        <v>-6.6751562385041624E-4</v>
      </c>
      <c r="G31" s="92">
        <f>'Project finance'!M22-'Project finance'!$J$22</f>
        <v>-9.4089962059679816E-4</v>
      </c>
    </row>
    <row r="32" spans="2:7" x14ac:dyDescent="0.3">
      <c r="B32" s="23"/>
      <c r="C32" s="71" t="s">
        <v>220</v>
      </c>
      <c r="D32" s="136">
        <f>'Project finance'!J23</f>
        <v>73655594.225513071</v>
      </c>
      <c r="E32" s="136">
        <f>'Project finance'!K23</f>
        <v>79208524.111213207</v>
      </c>
      <c r="F32" s="136">
        <f>'Project finance'!L23</f>
        <v>83063815.547561079</v>
      </c>
      <c r="G32" s="136">
        <f>'Project finance'!M23</f>
        <v>86765321.530988112</v>
      </c>
    </row>
    <row r="33" spans="2:7" x14ac:dyDescent="0.3">
      <c r="B33" s="23"/>
      <c r="C33" t="s">
        <v>204</v>
      </c>
      <c r="D33" s="136">
        <f>D32-$D$32</f>
        <v>0</v>
      </c>
      <c r="E33" s="136">
        <f t="shared" ref="E33:G33" si="7">E32-$D$32</f>
        <v>5552929.8857001364</v>
      </c>
      <c r="F33" s="136">
        <f t="shared" si="7"/>
        <v>9408221.3220480084</v>
      </c>
      <c r="G33" s="136">
        <f t="shared" si="7"/>
        <v>13109727.305475041</v>
      </c>
    </row>
    <row r="34" spans="2:7" s="112" customFormat="1" x14ac:dyDescent="0.3">
      <c r="B34" s="111"/>
      <c r="C34" t="s">
        <v>203</v>
      </c>
      <c r="D34" s="137">
        <f>D32</f>
        <v>73655594.225513071</v>
      </c>
      <c r="E34" s="137">
        <f t="shared" ref="E34:G34" si="8">E32-E33</f>
        <v>73655594.225513071</v>
      </c>
      <c r="F34" s="137">
        <f t="shared" si="8"/>
        <v>73655594.225513071</v>
      </c>
      <c r="G34" s="137">
        <f t="shared" si="8"/>
        <v>73655594.225513071</v>
      </c>
    </row>
    <row r="35" spans="2:7" ht="15" thickBot="1" x14ac:dyDescent="0.35">
      <c r="B35" s="25"/>
      <c r="C35" s="26" t="s">
        <v>205</v>
      </c>
      <c r="D35" s="138">
        <f>D33/$D$32</f>
        <v>0</v>
      </c>
      <c r="E35" s="138">
        <f t="shared" ref="E35:G35" si="9">E33/$D$32</f>
        <v>7.5390470256727543E-2</v>
      </c>
      <c r="F35" s="138">
        <f t="shared" si="9"/>
        <v>0.12773261041439207</v>
      </c>
      <c r="G35" s="138">
        <f t="shared" si="9"/>
        <v>0.17798685141737747</v>
      </c>
    </row>
    <row r="36" spans="2:7" ht="17.399999999999999" customHeight="1" x14ac:dyDescent="0.3">
      <c r="B36" s="47" t="s">
        <v>164</v>
      </c>
      <c r="C36" s="48"/>
      <c r="D36" s="49"/>
      <c r="E36" s="49"/>
      <c r="F36" s="49"/>
      <c r="G36" s="49"/>
    </row>
    <row r="37" spans="2:7" ht="18" customHeight="1" thickBot="1" x14ac:dyDescent="0.35">
      <c r="B37" s="25"/>
      <c r="C37" s="109" t="s">
        <v>233</v>
      </c>
      <c r="D37" s="110">
        <v>0</v>
      </c>
      <c r="E37" s="110">
        <f>E33/E25</f>
        <v>76.496647435961137</v>
      </c>
      <c r="F37" s="110">
        <f>F33/F25</f>
        <v>183.60012727685748</v>
      </c>
      <c r="G37" s="110">
        <f>G33/G25</f>
        <v>101.04381203976354</v>
      </c>
    </row>
    <row r="38" spans="2:7" x14ac:dyDescent="0.3">
      <c r="B38" s="47" t="s">
        <v>149</v>
      </c>
      <c r="C38" s="48"/>
      <c r="D38" s="49"/>
      <c r="E38" s="48"/>
      <c r="F38" s="49"/>
      <c r="G38" s="88"/>
    </row>
    <row r="39" spans="2:7" x14ac:dyDescent="0.3">
      <c r="B39" s="23"/>
      <c r="C39" t="s">
        <v>221</v>
      </c>
      <c r="D39" s="119">
        <f>'Project finance'!J24</f>
        <v>44.309894348914021</v>
      </c>
      <c r="E39" s="125">
        <f>'Project finance'!K24</f>
        <v>43.664321117955232</v>
      </c>
      <c r="F39" s="119">
        <f>'Project finance'!L24</f>
        <v>43.231391415721454</v>
      </c>
      <c r="G39" s="123">
        <f>'Project finance'!M24</f>
        <v>42.823161207451349</v>
      </c>
    </row>
    <row r="40" spans="2:7" x14ac:dyDescent="0.3">
      <c r="B40" s="23"/>
      <c r="C40" s="71" t="s">
        <v>222</v>
      </c>
      <c r="D40" s="118">
        <f>D39-$D$39</f>
        <v>0</v>
      </c>
      <c r="E40" s="117">
        <f t="shared" ref="E40:G40" si="10">E39-$D$39</f>
        <v>-0.64557323095878871</v>
      </c>
      <c r="F40" s="118">
        <f t="shared" si="10"/>
        <v>-1.0785029331925671</v>
      </c>
      <c r="G40" s="120">
        <f t="shared" si="10"/>
        <v>-1.4867331414626719</v>
      </c>
    </row>
    <row r="41" spans="2:7" ht="15" thickBot="1" x14ac:dyDescent="0.35">
      <c r="B41" s="25"/>
      <c r="C41" s="109" t="s">
        <v>223</v>
      </c>
      <c r="D41" s="124">
        <f>D40/D39</f>
        <v>0</v>
      </c>
      <c r="E41" s="121">
        <f t="shared" ref="E41:G41" si="11">E40/E39</f>
        <v>-1.4784913962473636E-2</v>
      </c>
      <c r="F41" s="126">
        <f t="shared" si="11"/>
        <v>-2.4947217701634293E-2</v>
      </c>
      <c r="G41" s="122">
        <f t="shared" si="11"/>
        <v>-3.4717968023434388E-2</v>
      </c>
    </row>
    <row r="42" spans="2:7" ht="15" thickBot="1" x14ac:dyDescent="0.35"/>
    <row r="43" spans="2:7" x14ac:dyDescent="0.3">
      <c r="B43" s="50"/>
      <c r="C43" s="127" t="s">
        <v>142</v>
      </c>
      <c r="D43" s="127" t="s">
        <v>143</v>
      </c>
      <c r="E43" s="127" t="s">
        <v>144</v>
      </c>
      <c r="F43" s="127" t="s">
        <v>145</v>
      </c>
      <c r="G43" s="128" t="s">
        <v>146</v>
      </c>
    </row>
    <row r="44" spans="2:7" x14ac:dyDescent="0.3">
      <c r="B44" s="23">
        <v>1</v>
      </c>
      <c r="C44" s="129">
        <v>468892.96510355844</v>
      </c>
      <c r="D44" s="129">
        <v>457106.35618618457</v>
      </c>
      <c r="E44" s="129">
        <v>8916.1348131773702</v>
      </c>
      <c r="F44" s="5">
        <f>D32</f>
        <v>73655594.225513071</v>
      </c>
      <c r="G44" s="24"/>
    </row>
    <row r="45" spans="2:7" x14ac:dyDescent="0.3">
      <c r="B45" s="23">
        <v>2</v>
      </c>
      <c r="C45" s="129">
        <v>470760.89447398402</v>
      </c>
      <c r="D45" s="129">
        <v>463535.7978336633</v>
      </c>
      <c r="E45" s="129">
        <v>5515.1485623816225</v>
      </c>
      <c r="F45" s="5">
        <f>E32</f>
        <v>79208524.111213207</v>
      </c>
      <c r="G45" s="130">
        <f>E33</f>
        <v>5552929.8857001364</v>
      </c>
    </row>
    <row r="46" spans="2:7" x14ac:dyDescent="0.3">
      <c r="B46" s="23">
        <v>3</v>
      </c>
      <c r="C46" s="129">
        <v>471390.14329943666</v>
      </c>
      <c r="D46" s="129">
        <v>468140.86127648462</v>
      </c>
      <c r="E46" s="129">
        <v>2385.3671554076936</v>
      </c>
      <c r="F46" s="5">
        <f>F32</f>
        <v>83063815.547561079</v>
      </c>
      <c r="G46" s="130">
        <f>F33</f>
        <v>9408221.3220480084</v>
      </c>
    </row>
    <row r="47" spans="2:7" ht="15" thickBot="1" x14ac:dyDescent="0.35">
      <c r="B47" s="25">
        <v>4</v>
      </c>
      <c r="C47" s="131">
        <v>472423.10833507078</v>
      </c>
      <c r="D47" s="131">
        <v>472303.48972004623</v>
      </c>
      <c r="E47" s="131">
        <v>92.086515442365908</v>
      </c>
      <c r="F47" s="132">
        <f>G32</f>
        <v>86765321.530988112</v>
      </c>
      <c r="G47" s="133">
        <f>G33</f>
        <v>13109727.305475041</v>
      </c>
    </row>
    <row r="48" spans="2:7" x14ac:dyDescent="0.3">
      <c r="E48" s="13"/>
    </row>
    <row r="49" spans="2:7" x14ac:dyDescent="0.3">
      <c r="B49" t="s">
        <v>97</v>
      </c>
    </row>
    <row r="50" spans="2:7" x14ac:dyDescent="0.3">
      <c r="B50" t="s">
        <v>98</v>
      </c>
      <c r="C50" t="s">
        <v>99</v>
      </c>
    </row>
    <row r="51" spans="2:7" x14ac:dyDescent="0.3">
      <c r="C51" t="s">
        <v>102</v>
      </c>
    </row>
    <row r="52" spans="2:7" x14ac:dyDescent="0.3">
      <c r="C52" t="s">
        <v>100</v>
      </c>
    </row>
    <row r="53" spans="2:7" x14ac:dyDescent="0.3">
      <c r="C53" t="s">
        <v>101</v>
      </c>
    </row>
    <row r="54" spans="2:7" x14ac:dyDescent="0.3">
      <c r="C54" t="s">
        <v>104</v>
      </c>
      <c r="D54" s="22">
        <v>1.2</v>
      </c>
      <c r="E54" t="s">
        <v>103</v>
      </c>
    </row>
    <row r="55" spans="2:7" x14ac:dyDescent="0.3">
      <c r="C55" t="s">
        <v>104</v>
      </c>
      <c r="D55" s="73">
        <v>1.35</v>
      </c>
      <c r="E55" t="s">
        <v>106</v>
      </c>
    </row>
    <row r="56" spans="2:7" x14ac:dyDescent="0.3">
      <c r="C56" t="s">
        <v>104</v>
      </c>
      <c r="D56" s="22">
        <v>1.5</v>
      </c>
      <c r="E56" t="s">
        <v>105</v>
      </c>
    </row>
    <row r="58" spans="2:7" ht="15.6" hidden="1" thickBot="1" x14ac:dyDescent="0.35">
      <c r="C58" s="101"/>
      <c r="D58" s="102" t="s">
        <v>154</v>
      </c>
      <c r="E58" s="102" t="s">
        <v>155</v>
      </c>
      <c r="F58" s="102" t="s">
        <v>156</v>
      </c>
      <c r="G58" s="102" t="s">
        <v>157</v>
      </c>
    </row>
    <row r="59" spans="2:7" ht="15.6" hidden="1" thickBot="1" x14ac:dyDescent="0.35">
      <c r="C59" s="103" t="s">
        <v>158</v>
      </c>
      <c r="D59" s="104">
        <f>'Project finance'!J18</f>
        <v>169932611.03461057</v>
      </c>
      <c r="E59" s="104">
        <f>'Project finance'!K18</f>
        <v>172724392.36197427</v>
      </c>
      <c r="F59" s="104">
        <f>'Project finance'!L18</f>
        <v>174723995.25689057</v>
      </c>
      <c r="G59" s="104">
        <f>'Project finance'!M18</f>
        <v>176531484.77132535</v>
      </c>
    </row>
    <row r="60" spans="2:7" ht="30.6" hidden="1" thickBot="1" x14ac:dyDescent="0.35">
      <c r="C60" s="103" t="s">
        <v>159</v>
      </c>
      <c r="D60" s="105">
        <f>'Project finance'!J20</f>
        <v>0.88506568247193007</v>
      </c>
      <c r="E60" s="105">
        <f>'Project finance'!K20</f>
        <v>0.89960621021861598</v>
      </c>
      <c r="F60" s="105">
        <f>'Project finance'!L20</f>
        <v>0.91002080862963841</v>
      </c>
      <c r="G60" s="105">
        <f>'Project finance'!M20</f>
        <v>0.91943481651731951</v>
      </c>
    </row>
    <row r="61" spans="2:7" ht="15.6" hidden="1" thickBot="1" x14ac:dyDescent="0.35">
      <c r="C61" s="103" t="s">
        <v>160</v>
      </c>
      <c r="D61" s="104">
        <f>'Project finance'!J23</f>
        <v>73655594.225513071</v>
      </c>
      <c r="E61" s="104">
        <f>'Project finance'!K23</f>
        <v>79208524.111213207</v>
      </c>
      <c r="F61" s="104">
        <f>'Project finance'!L23</f>
        <v>83063815.547561079</v>
      </c>
      <c r="G61" s="104">
        <f>'Project finance'!M23</f>
        <v>86765321.530988112</v>
      </c>
    </row>
    <row r="62" spans="2:7" ht="15.6" hidden="1" thickBot="1" x14ac:dyDescent="0.35">
      <c r="C62" s="103" t="s">
        <v>161</v>
      </c>
      <c r="D62" s="106">
        <f>D61-$D$61</f>
        <v>0</v>
      </c>
      <c r="E62" s="106">
        <f t="shared" ref="E62:G62" si="12">E61-$D$61</f>
        <v>5552929.8857001364</v>
      </c>
      <c r="F62" s="106">
        <f t="shared" si="12"/>
        <v>9408221.3220480084</v>
      </c>
      <c r="G62" s="106">
        <f t="shared" si="12"/>
        <v>13109727.305475041</v>
      </c>
    </row>
    <row r="63" spans="2:7" ht="15.6" hidden="1" thickBot="1" x14ac:dyDescent="0.35">
      <c r="C63" s="103" t="s">
        <v>162</v>
      </c>
      <c r="D63" s="107">
        <f>D62/D61</f>
        <v>0</v>
      </c>
      <c r="E63" s="107">
        <f>E62/D61</f>
        <v>7.5390470256727543E-2</v>
      </c>
      <c r="F63" s="107">
        <f>F62/D61</f>
        <v>0.12773261041439207</v>
      </c>
      <c r="G63" s="107">
        <f>G62/D61</f>
        <v>0.17798685141737747</v>
      </c>
    </row>
    <row r="64" spans="2:7" x14ac:dyDescent="0.3">
      <c r="E64" s="100"/>
      <c r="F64" s="100"/>
      <c r="G64" s="100"/>
    </row>
    <row r="66" spans="4:6" x14ac:dyDescent="0.3">
      <c r="D66" s="99"/>
      <c r="E66" s="13"/>
    </row>
    <row r="67" spans="4:6" x14ac:dyDescent="0.3">
      <c r="E67" s="9"/>
      <c r="F67" s="13"/>
    </row>
  </sheetData>
  <mergeCells count="3">
    <mergeCell ref="B8:B10"/>
    <mergeCell ref="C8:C10"/>
    <mergeCell ref="B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F120-51E1-4127-A720-10A75CCE202F}">
  <dimension ref="A1:T17"/>
  <sheetViews>
    <sheetView workbookViewId="0">
      <selection activeCell="B29" sqref="B29"/>
    </sheetView>
  </sheetViews>
  <sheetFormatPr defaultRowHeight="14.4" x14ac:dyDescent="0.3"/>
  <cols>
    <col min="2" max="2" width="34.33203125" customWidth="1"/>
    <col min="4" max="4" width="9.33203125" bestFit="1" customWidth="1"/>
    <col min="7" max="7" width="10.33203125" bestFit="1" customWidth="1"/>
    <col min="11" max="11" width="11.33203125" bestFit="1" customWidth="1"/>
    <col min="14" max="14" width="11.33203125" bestFit="1" customWidth="1"/>
  </cols>
  <sheetData>
    <row r="1" spans="1:20" x14ac:dyDescent="0.3">
      <c r="A1" t="s">
        <v>0</v>
      </c>
      <c r="B1" t="s">
        <v>1</v>
      </c>
    </row>
    <row r="3" spans="1:20" x14ac:dyDescent="0.3">
      <c r="A3" t="s">
        <v>6</v>
      </c>
      <c r="B3" t="s">
        <v>8</v>
      </c>
      <c r="K3" s="13">
        <v>0.05</v>
      </c>
    </row>
    <row r="4" spans="1:20" x14ac:dyDescent="0.3">
      <c r="A4" t="s">
        <v>7</v>
      </c>
      <c r="B4" t="s">
        <v>9</v>
      </c>
    </row>
    <row r="5" spans="1:20" x14ac:dyDescent="0.3">
      <c r="A5">
        <v>1</v>
      </c>
      <c r="B5" t="s">
        <v>2</v>
      </c>
      <c r="C5" t="s">
        <v>3</v>
      </c>
      <c r="D5" s="3">
        <v>5000</v>
      </c>
      <c r="E5" s="1" t="s">
        <v>4</v>
      </c>
      <c r="F5" s="2" t="s">
        <v>11</v>
      </c>
      <c r="G5" s="3">
        <f>D5*0.9*12</f>
        <v>54000</v>
      </c>
      <c r="H5" t="s">
        <v>18</v>
      </c>
      <c r="J5" s="2" t="s">
        <v>11</v>
      </c>
      <c r="K5" s="5">
        <f>G5</f>
        <v>54000</v>
      </c>
      <c r="L5" s="2"/>
      <c r="M5" s="5"/>
      <c r="S5" t="s">
        <v>21</v>
      </c>
    </row>
    <row r="6" spans="1:20" ht="41.4" thickBot="1" x14ac:dyDescent="0.35">
      <c r="A6">
        <v>2</v>
      </c>
      <c r="B6" t="s">
        <v>10</v>
      </c>
      <c r="C6" t="s">
        <v>3</v>
      </c>
      <c r="D6" s="3">
        <v>4200</v>
      </c>
      <c r="E6" s="1" t="s">
        <v>4</v>
      </c>
      <c r="F6" s="2" t="s">
        <v>11</v>
      </c>
      <c r="G6" s="3">
        <f>D6*0.9*12</f>
        <v>45360</v>
      </c>
      <c r="J6" s="2" t="s">
        <v>11</v>
      </c>
      <c r="K6" s="5">
        <f>G6</f>
        <v>45360</v>
      </c>
      <c r="L6" s="2"/>
      <c r="M6" s="5"/>
      <c r="S6" s="6" t="s">
        <v>19</v>
      </c>
      <c r="T6" s="6" t="s">
        <v>20</v>
      </c>
    </row>
    <row r="7" spans="1:20" ht="15" thickBot="1" x14ac:dyDescent="0.35">
      <c r="A7">
        <v>3</v>
      </c>
      <c r="B7" t="s">
        <v>12</v>
      </c>
      <c r="C7" t="s">
        <v>5</v>
      </c>
      <c r="D7">
        <v>30000</v>
      </c>
      <c r="E7" s="1" t="s">
        <v>4</v>
      </c>
      <c r="F7" s="2" t="s">
        <v>11</v>
      </c>
      <c r="G7" s="3">
        <f>30000/0.8</f>
        <v>37500</v>
      </c>
      <c r="H7" s="2" t="s">
        <v>13</v>
      </c>
      <c r="J7" s="2" t="s">
        <v>11</v>
      </c>
      <c r="K7" s="5">
        <f>G7*(1.03^10)</f>
        <v>50396.86422540457</v>
      </c>
      <c r="L7" s="2"/>
      <c r="M7" s="5"/>
      <c r="P7" s="5">
        <f>AVERAGE(G5:G7)*15%</f>
        <v>6843</v>
      </c>
      <c r="S7" s="7">
        <v>2015</v>
      </c>
      <c r="T7" s="8">
        <v>4.0000000000000001E-3</v>
      </c>
    </row>
    <row r="8" spans="1:20" ht="15" thickBot="1" x14ac:dyDescent="0.35">
      <c r="S8" s="7">
        <v>2016</v>
      </c>
      <c r="T8" s="8">
        <v>0.01</v>
      </c>
    </row>
    <row r="9" spans="1:20" ht="15" thickBot="1" x14ac:dyDescent="0.35">
      <c r="A9" t="s">
        <v>14</v>
      </c>
      <c r="B9" t="s">
        <v>15</v>
      </c>
      <c r="K9" s="13">
        <v>0.1</v>
      </c>
      <c r="S9" s="7">
        <v>2017</v>
      </c>
      <c r="T9" s="8">
        <v>2.5999999999999999E-2</v>
      </c>
    </row>
    <row r="10" spans="1:20" ht="15" thickBot="1" x14ac:dyDescent="0.35">
      <c r="A10" t="s">
        <v>16</v>
      </c>
      <c r="B10" t="s">
        <v>17</v>
      </c>
      <c r="K10">
        <v>47000</v>
      </c>
      <c r="S10" s="7">
        <v>2018</v>
      </c>
      <c r="T10" s="8">
        <v>2.3E-2</v>
      </c>
    </row>
    <row r="11" spans="1:20" ht="15" thickBot="1" x14ac:dyDescent="0.35">
      <c r="S11" s="7">
        <v>2019</v>
      </c>
      <c r="T11" s="8">
        <v>1.7000000000000001E-2</v>
      </c>
    </row>
    <row r="12" spans="1:20" ht="15" thickBot="1" x14ac:dyDescent="0.35">
      <c r="S12" s="7">
        <v>2020</v>
      </c>
      <c r="T12" s="8">
        <v>0.01</v>
      </c>
    </row>
    <row r="13" spans="1:20" ht="15" thickBot="1" x14ac:dyDescent="0.35">
      <c r="B13" s="4" t="s">
        <v>22</v>
      </c>
      <c r="C13" s="4"/>
      <c r="D13" s="4"/>
      <c r="E13" s="4"/>
      <c r="F13" s="4"/>
      <c r="G13" s="4"/>
      <c r="H13" s="4" t="s">
        <v>39</v>
      </c>
      <c r="I13" s="4"/>
      <c r="J13" s="10" t="s">
        <v>11</v>
      </c>
      <c r="K13" s="11">
        <f>AVERAGE(K5:K7)*1.15+K10</f>
        <v>104406.79795307174</v>
      </c>
      <c r="L13" s="10"/>
      <c r="M13" s="15" t="s">
        <v>41</v>
      </c>
      <c r="N13" s="16">
        <f>UAVs!J13</f>
        <v>135350</v>
      </c>
      <c r="S13" s="7">
        <v>2021</v>
      </c>
      <c r="T13" s="8">
        <v>2.5000000000000001E-2</v>
      </c>
    </row>
    <row r="14" spans="1:20" ht="15" thickBot="1" x14ac:dyDescent="0.35">
      <c r="H14" s="4" t="s">
        <v>40</v>
      </c>
      <c r="J14" s="10" t="s">
        <v>11</v>
      </c>
      <c r="K14" s="11">
        <f>AVERAGE(K5:K7)*1.1+K13</f>
        <v>159317.64816905343</v>
      </c>
      <c r="M14" s="15" t="s">
        <v>42</v>
      </c>
      <c r="N14" s="16">
        <f>UAVs!O13</f>
        <v>156050</v>
      </c>
      <c r="S14" s="7">
        <v>2022</v>
      </c>
      <c r="T14" s="8">
        <v>9.0999999999999998E-2</v>
      </c>
    </row>
    <row r="15" spans="1:20" ht="15" thickBot="1" x14ac:dyDescent="0.35">
      <c r="S15" s="7">
        <v>2023</v>
      </c>
      <c r="T15" s="8">
        <v>7.2999999999999995E-2</v>
      </c>
    </row>
    <row r="16" spans="1:20" ht="15" thickBot="1" x14ac:dyDescent="0.35">
      <c r="S16" s="7">
        <v>2024</v>
      </c>
      <c r="T16" s="8">
        <v>2.1999999999999999E-2</v>
      </c>
    </row>
    <row r="17" spans="20:20" x14ac:dyDescent="0.3">
      <c r="T17" s="9">
        <f>AVERAGE(T7:T16)</f>
        <v>3.0099999999999998E-2</v>
      </c>
    </row>
  </sheetData>
  <hyperlinks>
    <hyperlink ref="E5" r:id="rId1" xr:uid="{4F82B51A-0B07-4E6C-A6DD-C6EA6DD6A476}"/>
    <hyperlink ref="E6" r:id="rId2" xr:uid="{EB6AC0FD-0B9B-4352-9D18-372C14797792}"/>
    <hyperlink ref="E7" r:id="rId3" xr:uid="{9667B97E-62B7-4C15-B6AA-D49B714038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C2DC-D940-4240-B349-2AD4732EE904}">
  <dimension ref="A2:O23"/>
  <sheetViews>
    <sheetView workbookViewId="0">
      <selection activeCell="E35" sqref="E35"/>
    </sheetView>
  </sheetViews>
  <sheetFormatPr defaultRowHeight="14.4" x14ac:dyDescent="0.3"/>
  <cols>
    <col min="1" max="1" width="15.44140625" customWidth="1"/>
    <col min="2" max="2" width="10.33203125" customWidth="1"/>
    <col min="7" max="7" width="10.33203125" bestFit="1" customWidth="1"/>
    <col min="9" max="9" width="10" customWidth="1"/>
    <col min="10" max="10" width="11.33203125" bestFit="1" customWidth="1"/>
  </cols>
  <sheetData>
    <row r="2" spans="1:15" x14ac:dyDescent="0.3">
      <c r="A2" t="s">
        <v>23</v>
      </c>
      <c r="B2" t="s">
        <v>24</v>
      </c>
      <c r="C2" t="s">
        <v>25</v>
      </c>
      <c r="D2">
        <v>13000</v>
      </c>
      <c r="E2" t="s">
        <v>26</v>
      </c>
      <c r="F2" s="2" t="s">
        <v>27</v>
      </c>
      <c r="G2" s="3">
        <f>D2*0.9</f>
        <v>11700</v>
      </c>
      <c r="I2" s="2" t="s">
        <v>29</v>
      </c>
      <c r="J2" s="5">
        <f>G2*2</f>
        <v>23400</v>
      </c>
      <c r="N2" s="2" t="s">
        <v>30</v>
      </c>
      <c r="O2" s="5">
        <f>G2*3</f>
        <v>35100</v>
      </c>
    </row>
    <row r="3" spans="1:15" x14ac:dyDescent="0.3">
      <c r="B3" t="s">
        <v>24</v>
      </c>
      <c r="C3" t="s">
        <v>25</v>
      </c>
      <c r="D3">
        <v>10000</v>
      </c>
      <c r="E3" s="1" t="s">
        <v>26</v>
      </c>
      <c r="F3" s="2" t="s">
        <v>27</v>
      </c>
      <c r="G3" s="3">
        <f>D3*0.9</f>
        <v>9000</v>
      </c>
      <c r="I3" s="2" t="s">
        <v>29</v>
      </c>
      <c r="J3" s="5">
        <f t="shared" ref="J3:J4" si="0">G3*2</f>
        <v>18000</v>
      </c>
      <c r="N3" s="2" t="s">
        <v>30</v>
      </c>
      <c r="O3" s="5">
        <f t="shared" ref="O3:O4" si="1">G3*3</f>
        <v>27000</v>
      </c>
    </row>
    <row r="4" spans="1:15" x14ac:dyDescent="0.3">
      <c r="B4" t="s">
        <v>24</v>
      </c>
      <c r="C4" t="s">
        <v>25</v>
      </c>
      <c r="D4">
        <f>AVERAGE(8000,15000)</f>
        <v>11500</v>
      </c>
      <c r="E4" s="1" t="s">
        <v>4</v>
      </c>
      <c r="F4" s="2" t="s">
        <v>27</v>
      </c>
      <c r="G4" s="3">
        <f>D4*0.9</f>
        <v>10350</v>
      </c>
      <c r="I4" s="2" t="s">
        <v>29</v>
      </c>
      <c r="J4" s="5">
        <f t="shared" si="0"/>
        <v>20700</v>
      </c>
      <c r="N4" s="2" t="s">
        <v>30</v>
      </c>
      <c r="O4" s="5">
        <f t="shared" si="1"/>
        <v>31050</v>
      </c>
    </row>
    <row r="5" spans="1:15" x14ac:dyDescent="0.3">
      <c r="A5" s="12" t="s">
        <v>28</v>
      </c>
      <c r="E5" s="1" t="s">
        <v>4</v>
      </c>
    </row>
    <row r="7" spans="1:15" x14ac:dyDescent="0.3">
      <c r="A7" t="s">
        <v>31</v>
      </c>
      <c r="B7" t="s">
        <v>32</v>
      </c>
      <c r="I7" t="s">
        <v>33</v>
      </c>
      <c r="J7">
        <f>8760*0.8</f>
        <v>7008</v>
      </c>
      <c r="K7" t="s">
        <v>34</v>
      </c>
      <c r="L7">
        <f>J7*1.5</f>
        <v>10512</v>
      </c>
    </row>
    <row r="8" spans="1:15" x14ac:dyDescent="0.3">
      <c r="J8">
        <f>J7/365</f>
        <v>19.2</v>
      </c>
    </row>
    <row r="10" spans="1:15" x14ac:dyDescent="0.3">
      <c r="A10" t="s">
        <v>38</v>
      </c>
      <c r="C10" t="s">
        <v>65</v>
      </c>
      <c r="F10" s="2" t="s">
        <v>35</v>
      </c>
      <c r="G10">
        <f>AVERAGE(39500)</f>
        <v>39500</v>
      </c>
      <c r="H10" s="1" t="s">
        <v>4</v>
      </c>
      <c r="J10" s="3">
        <f>G10*3</f>
        <v>118500</v>
      </c>
    </row>
    <row r="11" spans="1:15" x14ac:dyDescent="0.3">
      <c r="A11" t="s">
        <v>36</v>
      </c>
      <c r="C11" s="13">
        <v>0.15</v>
      </c>
      <c r="D11" t="s">
        <v>37</v>
      </c>
      <c r="J11">
        <v>6500</v>
      </c>
    </row>
    <row r="13" spans="1:15" x14ac:dyDescent="0.3">
      <c r="I13" s="2" t="s">
        <v>11</v>
      </c>
      <c r="J13" s="5">
        <f>SUM(AVERAGE(J2:J4)*50%,J10,J11)</f>
        <v>135350</v>
      </c>
      <c r="N13" s="2" t="s">
        <v>30</v>
      </c>
      <c r="O13" s="5">
        <f>SUM(AVERAGE(O2:O4),J10,J11)</f>
        <v>156050</v>
      </c>
    </row>
    <row r="19" spans="1:2" x14ac:dyDescent="0.3">
      <c r="A19" s="20" t="s">
        <v>54</v>
      </c>
      <c r="B19" s="19" t="s">
        <v>55</v>
      </c>
    </row>
    <row r="20" spans="1:2" x14ac:dyDescent="0.3">
      <c r="A20" s="20" t="s">
        <v>56</v>
      </c>
      <c r="B20" s="19"/>
    </row>
    <row r="21" spans="1:2" x14ac:dyDescent="0.3">
      <c r="A21" s="20" t="s">
        <v>57</v>
      </c>
      <c r="B21" s="19"/>
    </row>
    <row r="22" spans="1:2" x14ac:dyDescent="0.3">
      <c r="A22" s="20" t="s">
        <v>60</v>
      </c>
      <c r="B22" s="19"/>
    </row>
    <row r="23" spans="1:2" x14ac:dyDescent="0.3">
      <c r="A23" s="20" t="s">
        <v>58</v>
      </c>
      <c r="B23" s="19" t="s">
        <v>59</v>
      </c>
    </row>
  </sheetData>
  <hyperlinks>
    <hyperlink ref="E3" r:id="rId1" xr:uid="{E929E047-EC99-4956-A02E-0DFFEBAA35FC}"/>
    <hyperlink ref="E5" r:id="rId2" xr:uid="{5319DE48-1972-484A-B1CE-845CECC15E60}"/>
    <hyperlink ref="E4" r:id="rId3" xr:uid="{E667CA46-3A84-478E-9DAE-6E8F9DE140D1}"/>
    <hyperlink ref="H10" r:id="rId4" location="https://www.droneblog.com/drone-pilot-salary/" xr:uid="{1450B0CB-0464-4002-B13D-A137B80BF05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1C4E-E4D2-41F1-A6A1-C7FF36D8F11D}">
  <dimension ref="B2:T47"/>
  <sheetViews>
    <sheetView topLeftCell="C1" zoomScale="80" zoomScaleNormal="122" workbookViewId="0">
      <selection activeCell="H56" sqref="H56"/>
    </sheetView>
  </sheetViews>
  <sheetFormatPr defaultRowHeight="14.4" x14ac:dyDescent="0.3"/>
  <cols>
    <col min="1" max="1" width="3.6640625" customWidth="1"/>
    <col min="2" max="2" width="6.21875" customWidth="1"/>
    <col min="3" max="3" width="31" customWidth="1"/>
    <col min="5" max="5" width="12.88671875" customWidth="1"/>
    <col min="7" max="7" width="12.6640625" customWidth="1"/>
    <col min="8" max="8" width="15.77734375" customWidth="1"/>
    <col min="9" max="9" width="11.77734375" customWidth="1"/>
    <col min="10" max="10" width="6.6640625" customWidth="1"/>
    <col min="11" max="11" width="7.109375" customWidth="1"/>
    <col min="12" max="12" width="27.6640625" customWidth="1"/>
    <col min="13" max="13" width="11.88671875" customWidth="1"/>
    <col min="14" max="14" width="11.21875" customWidth="1"/>
    <col min="15" max="15" width="11.33203125" customWidth="1"/>
    <col min="17" max="17" width="11.33203125" bestFit="1" customWidth="1"/>
    <col min="18" max="18" width="12.77734375" customWidth="1"/>
  </cols>
  <sheetData>
    <row r="2" spans="2:20" ht="18" x14ac:dyDescent="0.35">
      <c r="B2" s="28" t="s">
        <v>66</v>
      </c>
    </row>
    <row r="3" spans="2:20" ht="15" thickBot="1" x14ac:dyDescent="0.35"/>
    <row r="4" spans="2:20" x14ac:dyDescent="0.3">
      <c r="B4" s="197" t="s">
        <v>131</v>
      </c>
      <c r="C4" s="198"/>
      <c r="D4" s="198"/>
      <c r="E4" s="198"/>
      <c r="F4" s="198"/>
      <c r="G4" s="198"/>
      <c r="H4" s="198"/>
      <c r="I4" s="199"/>
      <c r="K4" s="197" t="s">
        <v>132</v>
      </c>
      <c r="L4" s="198"/>
      <c r="M4" s="198"/>
      <c r="N4" s="198"/>
      <c r="O4" s="198"/>
      <c r="P4" s="198"/>
      <c r="Q4" s="198"/>
      <c r="R4" s="199"/>
    </row>
    <row r="5" spans="2:20" x14ac:dyDescent="0.3">
      <c r="B5" s="162" t="s">
        <v>64</v>
      </c>
      <c r="C5" s="157" t="s">
        <v>166</v>
      </c>
      <c r="D5" s="157" t="s">
        <v>225</v>
      </c>
      <c r="E5" s="157" t="s">
        <v>227</v>
      </c>
      <c r="F5" s="157" t="s">
        <v>226</v>
      </c>
      <c r="G5" s="157" t="s">
        <v>228</v>
      </c>
      <c r="H5" s="157" t="s">
        <v>229</v>
      </c>
      <c r="I5" s="163" t="s">
        <v>79</v>
      </c>
      <c r="K5" s="162" t="s">
        <v>64</v>
      </c>
      <c r="L5" s="157" t="s">
        <v>166</v>
      </c>
      <c r="M5" s="157" t="s">
        <v>225</v>
      </c>
      <c r="N5" s="157" t="s">
        <v>227</v>
      </c>
      <c r="O5" s="157" t="s">
        <v>226</v>
      </c>
      <c r="P5" s="157" t="s">
        <v>228</v>
      </c>
      <c r="Q5" s="157" t="s">
        <v>229</v>
      </c>
      <c r="R5" s="163" t="s">
        <v>79</v>
      </c>
    </row>
    <row r="6" spans="2:20" x14ac:dyDescent="0.3">
      <c r="B6" s="162">
        <v>1</v>
      </c>
      <c r="C6" s="157" t="s">
        <v>173</v>
      </c>
      <c r="D6" s="158" t="s">
        <v>11</v>
      </c>
      <c r="E6" s="159">
        <f>4700*12</f>
        <v>56400</v>
      </c>
      <c r="F6" s="158" t="s">
        <v>175</v>
      </c>
      <c r="G6" s="160">
        <v>1</v>
      </c>
      <c r="H6" s="159">
        <v>56400</v>
      </c>
      <c r="I6" s="163" t="s">
        <v>238</v>
      </c>
      <c r="J6" s="114"/>
      <c r="K6" s="162">
        <v>1</v>
      </c>
      <c r="L6" s="157" t="s">
        <v>9</v>
      </c>
      <c r="M6" s="158" t="s">
        <v>11</v>
      </c>
      <c r="N6" s="159">
        <f>4700*12</f>
        <v>56400</v>
      </c>
      <c r="O6" s="158" t="s">
        <v>175</v>
      </c>
      <c r="P6" s="160">
        <v>2</v>
      </c>
      <c r="Q6" s="159">
        <f>N6*P6</f>
        <v>112800</v>
      </c>
      <c r="R6" s="163" t="s">
        <v>238</v>
      </c>
    </row>
    <row r="7" spans="2:20" x14ac:dyDescent="0.3">
      <c r="B7" s="162">
        <v>2</v>
      </c>
      <c r="C7" s="157" t="s">
        <v>171</v>
      </c>
      <c r="D7" s="158" t="s">
        <v>176</v>
      </c>
      <c r="E7" s="160">
        <v>1.5</v>
      </c>
      <c r="F7" s="158" t="s">
        <v>169</v>
      </c>
      <c r="G7" s="160">
        <f>1000*2</f>
        <v>2000</v>
      </c>
      <c r="H7" s="159">
        <v>3000</v>
      </c>
      <c r="I7" s="163" t="s">
        <v>239</v>
      </c>
      <c r="J7" s="114"/>
      <c r="K7" s="162">
        <v>2</v>
      </c>
      <c r="L7" s="157" t="s">
        <v>202</v>
      </c>
      <c r="M7" s="158" t="s">
        <v>176</v>
      </c>
      <c r="N7" s="160">
        <v>1.5</v>
      </c>
      <c r="O7" s="158" t="s">
        <v>169</v>
      </c>
      <c r="P7" s="160">
        <f>1000*2</f>
        <v>2000</v>
      </c>
      <c r="Q7" s="159">
        <f t="shared" ref="Q7:Q10" si="0">N7*P7</f>
        <v>3000</v>
      </c>
      <c r="R7" s="163" t="s">
        <v>239</v>
      </c>
    </row>
    <row r="8" spans="2:20" x14ac:dyDescent="0.3">
      <c r="B8" s="162">
        <v>3</v>
      </c>
      <c r="C8" s="157" t="s">
        <v>190</v>
      </c>
      <c r="D8" s="158" t="s">
        <v>11</v>
      </c>
      <c r="E8" s="161">
        <f>1155*12</f>
        <v>13860</v>
      </c>
      <c r="F8" s="158" t="s">
        <v>175</v>
      </c>
      <c r="G8" s="160">
        <v>1</v>
      </c>
      <c r="H8" s="159">
        <v>13860</v>
      </c>
      <c r="I8" s="163" t="s">
        <v>240</v>
      </c>
      <c r="J8" s="114"/>
      <c r="K8" s="162">
        <v>3</v>
      </c>
      <c r="L8" s="157" t="s">
        <v>190</v>
      </c>
      <c r="M8" s="158" t="s">
        <v>11</v>
      </c>
      <c r="N8" s="161">
        <f>1155*12</f>
        <v>13860</v>
      </c>
      <c r="O8" s="158" t="s">
        <v>175</v>
      </c>
      <c r="P8" s="160">
        <v>2</v>
      </c>
      <c r="Q8" s="159">
        <f t="shared" si="0"/>
        <v>27720</v>
      </c>
      <c r="R8" s="163" t="s">
        <v>240</v>
      </c>
    </row>
    <row r="9" spans="2:20" x14ac:dyDescent="0.3">
      <c r="B9" s="162">
        <v>4</v>
      </c>
      <c r="C9" s="157" t="s">
        <v>172</v>
      </c>
      <c r="D9" s="158" t="s">
        <v>177</v>
      </c>
      <c r="E9" s="160">
        <v>0.25</v>
      </c>
      <c r="F9" s="158" t="s">
        <v>178</v>
      </c>
      <c r="G9" s="160">
        <f>150*8760/1000</f>
        <v>1314</v>
      </c>
      <c r="H9" s="161">
        <v>329.5</v>
      </c>
      <c r="I9" s="163" t="s">
        <v>239</v>
      </c>
      <c r="K9" s="162">
        <v>4</v>
      </c>
      <c r="L9" s="157" t="s">
        <v>53</v>
      </c>
      <c r="M9" s="158" t="s">
        <v>177</v>
      </c>
      <c r="N9" s="160">
        <v>0.25</v>
      </c>
      <c r="O9" s="158" t="s">
        <v>181</v>
      </c>
      <c r="P9" s="160">
        <f>150*8760/1000*2</f>
        <v>2628</v>
      </c>
      <c r="Q9" s="159">
        <f>N9*P9+3</f>
        <v>660</v>
      </c>
      <c r="R9" s="163" t="s">
        <v>239</v>
      </c>
    </row>
    <row r="10" spans="2:20" x14ac:dyDescent="0.3">
      <c r="B10" s="162">
        <v>5</v>
      </c>
      <c r="C10" s="157" t="s">
        <v>61</v>
      </c>
      <c r="D10" s="158" t="s">
        <v>179</v>
      </c>
      <c r="E10" s="160">
        <v>2000</v>
      </c>
      <c r="F10" s="158" t="s">
        <v>180</v>
      </c>
      <c r="G10" s="160">
        <v>1</v>
      </c>
      <c r="H10" s="161">
        <v>2000</v>
      </c>
      <c r="I10" s="163" t="s">
        <v>241</v>
      </c>
      <c r="K10" s="162">
        <v>5</v>
      </c>
      <c r="L10" s="157" t="s">
        <v>61</v>
      </c>
      <c r="M10" s="158" t="s">
        <v>179</v>
      </c>
      <c r="N10" s="160">
        <v>2000</v>
      </c>
      <c r="O10" s="158" t="s">
        <v>180</v>
      </c>
      <c r="P10" s="160">
        <v>2</v>
      </c>
      <c r="Q10" s="159">
        <f t="shared" si="0"/>
        <v>4000</v>
      </c>
      <c r="R10" s="163" t="s">
        <v>241</v>
      </c>
    </row>
    <row r="11" spans="2:20" ht="15" thickBot="1" x14ac:dyDescent="0.35">
      <c r="B11" s="195" t="s">
        <v>62</v>
      </c>
      <c r="C11" s="196"/>
      <c r="D11" s="181" t="s">
        <v>138</v>
      </c>
      <c r="E11" s="182"/>
      <c r="F11" s="182"/>
      <c r="G11" s="182"/>
      <c r="H11" s="183">
        <v>75589.5</v>
      </c>
      <c r="I11" s="184"/>
      <c r="K11" s="195" t="s">
        <v>62</v>
      </c>
      <c r="L11" s="196"/>
      <c r="M11" s="181" t="s">
        <v>138</v>
      </c>
      <c r="N11" s="182"/>
      <c r="O11" s="181"/>
      <c r="P11" s="182"/>
      <c r="Q11" s="183">
        <f>SUM(Q7:Q8,Q6,Q9:Q10)</f>
        <v>148180</v>
      </c>
      <c r="R11" s="184"/>
    </row>
    <row r="12" spans="2:20" ht="15" thickBot="1" x14ac:dyDescent="0.35"/>
    <row r="13" spans="2:20" x14ac:dyDescent="0.3">
      <c r="B13" s="197" t="s">
        <v>133</v>
      </c>
      <c r="C13" s="198"/>
      <c r="D13" s="198"/>
      <c r="E13" s="198"/>
      <c r="F13" s="198"/>
      <c r="G13" s="198"/>
      <c r="H13" s="198"/>
      <c r="I13" s="199"/>
      <c r="J13" s="4"/>
      <c r="K13" s="197" t="s">
        <v>134</v>
      </c>
      <c r="L13" s="198"/>
      <c r="M13" s="198"/>
      <c r="N13" s="198"/>
      <c r="O13" s="198"/>
      <c r="P13" s="198"/>
      <c r="Q13" s="198"/>
      <c r="R13" s="199"/>
      <c r="S13" s="15"/>
      <c r="T13" s="16"/>
    </row>
    <row r="14" spans="2:20" x14ac:dyDescent="0.3">
      <c r="B14" s="162" t="s">
        <v>64</v>
      </c>
      <c r="C14" s="157" t="s">
        <v>166</v>
      </c>
      <c r="D14" s="157" t="s">
        <v>225</v>
      </c>
      <c r="E14" s="157" t="s">
        <v>227</v>
      </c>
      <c r="F14" s="157" t="s">
        <v>226</v>
      </c>
      <c r="G14" s="157" t="s">
        <v>228</v>
      </c>
      <c r="H14" s="157" t="s">
        <v>229</v>
      </c>
      <c r="I14" s="163" t="s">
        <v>63</v>
      </c>
      <c r="K14" s="162" t="s">
        <v>64</v>
      </c>
      <c r="L14" s="157" t="s">
        <v>166</v>
      </c>
      <c r="M14" s="157" t="s">
        <v>225</v>
      </c>
      <c r="N14" s="157" t="s">
        <v>227</v>
      </c>
      <c r="O14" s="157" t="s">
        <v>226</v>
      </c>
      <c r="P14" s="157" t="s">
        <v>228</v>
      </c>
      <c r="Q14" s="157" t="s">
        <v>229</v>
      </c>
      <c r="R14" s="163" t="s">
        <v>63</v>
      </c>
      <c r="S14" s="15"/>
      <c r="T14" s="16"/>
    </row>
    <row r="15" spans="2:20" x14ac:dyDescent="0.3">
      <c r="B15" s="162">
        <v>1</v>
      </c>
      <c r="C15" s="157" t="s">
        <v>174</v>
      </c>
      <c r="D15" s="158" t="s">
        <v>11</v>
      </c>
      <c r="E15" s="160"/>
      <c r="F15" s="160"/>
      <c r="G15" s="160"/>
      <c r="H15" s="159">
        <v>121503</v>
      </c>
      <c r="I15" s="163"/>
      <c r="J15" s="83"/>
      <c r="K15" s="162">
        <v>1</v>
      </c>
      <c r="L15" s="157" t="s">
        <v>174</v>
      </c>
      <c r="M15" s="158" t="s">
        <v>11</v>
      </c>
      <c r="N15" s="160"/>
      <c r="O15" s="160"/>
      <c r="P15" s="160"/>
      <c r="Q15" s="159">
        <v>198003</v>
      </c>
      <c r="R15" s="185"/>
    </row>
    <row r="16" spans="2:20" x14ac:dyDescent="0.3">
      <c r="B16" s="162"/>
      <c r="C16" s="164" t="s">
        <v>201</v>
      </c>
      <c r="D16" s="165" t="s">
        <v>11</v>
      </c>
      <c r="E16" s="166" t="s">
        <v>236</v>
      </c>
      <c r="F16" s="165" t="s">
        <v>44</v>
      </c>
      <c r="G16" s="167">
        <v>1</v>
      </c>
      <c r="H16" s="166" t="s">
        <v>236</v>
      </c>
      <c r="I16" s="163" t="s">
        <v>237</v>
      </c>
      <c r="J16" s="83"/>
      <c r="K16" s="162"/>
      <c r="L16" s="164" t="s">
        <v>201</v>
      </c>
      <c r="M16" s="165" t="s">
        <v>11</v>
      </c>
      <c r="N16" s="166" t="s">
        <v>236</v>
      </c>
      <c r="O16" s="165" t="s">
        <v>44</v>
      </c>
      <c r="P16" s="177">
        <v>1</v>
      </c>
      <c r="Q16" s="178" t="s">
        <v>236</v>
      </c>
      <c r="R16" s="163" t="s">
        <v>237</v>
      </c>
    </row>
    <row r="17" spans="2:18" s="21" customFormat="1" x14ac:dyDescent="0.3">
      <c r="B17" s="175"/>
      <c r="C17" s="164" t="s">
        <v>191</v>
      </c>
      <c r="D17" s="165" t="s">
        <v>27</v>
      </c>
      <c r="E17" s="168">
        <f>AVERAGE(10000,25000)</f>
        <v>17500</v>
      </c>
      <c r="F17" s="165" t="s">
        <v>167</v>
      </c>
      <c r="G17" s="168">
        <v>2</v>
      </c>
      <c r="H17" s="169">
        <v>35000</v>
      </c>
      <c r="I17" s="163" t="s">
        <v>242</v>
      </c>
      <c r="J17" s="115"/>
      <c r="K17" s="175"/>
      <c r="L17" s="164" t="s">
        <v>191</v>
      </c>
      <c r="M17" s="165" t="s">
        <v>27</v>
      </c>
      <c r="N17" s="168">
        <f>AVERAGE(10000,25000)</f>
        <v>17500</v>
      </c>
      <c r="O17" s="165" t="s">
        <v>167</v>
      </c>
      <c r="P17" s="179">
        <v>4</v>
      </c>
      <c r="Q17" s="180">
        <v>70000</v>
      </c>
      <c r="R17" s="186" t="s">
        <v>242</v>
      </c>
    </row>
    <row r="18" spans="2:18" s="21" customFormat="1" x14ac:dyDescent="0.3">
      <c r="B18" s="175"/>
      <c r="C18" s="164" t="s">
        <v>192</v>
      </c>
      <c r="D18" s="165" t="s">
        <v>182</v>
      </c>
      <c r="E18" s="164">
        <f>AVERAGE(1100,1200)</f>
        <v>1150</v>
      </c>
      <c r="F18" s="165" t="s">
        <v>168</v>
      </c>
      <c r="G18" s="168">
        <v>1</v>
      </c>
      <c r="H18" s="169">
        <v>1150</v>
      </c>
      <c r="I18" s="176" t="s">
        <v>243</v>
      </c>
      <c r="J18" s="115"/>
      <c r="K18" s="175"/>
      <c r="L18" s="164" t="s">
        <v>192</v>
      </c>
      <c r="M18" s="165" t="s">
        <v>182</v>
      </c>
      <c r="N18" s="164">
        <f>AVERAGE(1100,1200)</f>
        <v>1150</v>
      </c>
      <c r="O18" s="165" t="s">
        <v>168</v>
      </c>
      <c r="P18" s="179">
        <v>1</v>
      </c>
      <c r="Q18" s="180">
        <v>1150</v>
      </c>
      <c r="R18" s="186" t="s">
        <v>243</v>
      </c>
    </row>
    <row r="19" spans="2:18" s="21" customFormat="1" x14ac:dyDescent="0.3">
      <c r="B19" s="175"/>
      <c r="C19" s="164" t="s">
        <v>193</v>
      </c>
      <c r="D19" s="165" t="s">
        <v>186</v>
      </c>
      <c r="E19" s="164">
        <f>AVERAGE(1350,1550)</f>
        <v>1450</v>
      </c>
      <c r="F19" s="165" t="s">
        <v>187</v>
      </c>
      <c r="G19" s="168">
        <v>1</v>
      </c>
      <c r="H19" s="169">
        <v>1450</v>
      </c>
      <c r="I19" s="176" t="s">
        <v>244</v>
      </c>
      <c r="K19" s="175"/>
      <c r="L19" s="164" t="s">
        <v>193</v>
      </c>
      <c r="M19" s="165" t="s">
        <v>186</v>
      </c>
      <c r="N19" s="164">
        <f>AVERAGE(1350,1550)</f>
        <v>1450</v>
      </c>
      <c r="O19" s="165" t="s">
        <v>187</v>
      </c>
      <c r="P19" s="179">
        <v>1</v>
      </c>
      <c r="Q19" s="180">
        <v>1450</v>
      </c>
      <c r="R19" s="186" t="s">
        <v>244</v>
      </c>
    </row>
    <row r="20" spans="2:18" x14ac:dyDescent="0.3">
      <c r="B20" s="162"/>
      <c r="C20" s="164" t="s">
        <v>194</v>
      </c>
      <c r="D20" s="165" t="s">
        <v>183</v>
      </c>
      <c r="E20" s="164">
        <v>4500</v>
      </c>
      <c r="F20" s="165" t="s">
        <v>188</v>
      </c>
      <c r="G20" s="168">
        <v>1</v>
      </c>
      <c r="H20" s="169">
        <v>4500</v>
      </c>
      <c r="I20" s="176" t="s">
        <v>245</v>
      </c>
      <c r="J20" s="82"/>
      <c r="K20" s="162"/>
      <c r="L20" s="164" t="s">
        <v>194</v>
      </c>
      <c r="M20" s="165" t="s">
        <v>183</v>
      </c>
      <c r="N20" s="164">
        <v>4500</v>
      </c>
      <c r="O20" s="165" t="s">
        <v>188</v>
      </c>
      <c r="P20" s="179">
        <v>1</v>
      </c>
      <c r="Q20" s="180">
        <v>4500</v>
      </c>
      <c r="R20" s="163" t="s">
        <v>245</v>
      </c>
    </row>
    <row r="21" spans="2:18" x14ac:dyDescent="0.3">
      <c r="B21" s="162"/>
      <c r="C21" s="164" t="s">
        <v>195</v>
      </c>
      <c r="D21" s="165" t="s">
        <v>184</v>
      </c>
      <c r="E21" s="164">
        <v>140</v>
      </c>
      <c r="F21" s="165" t="s">
        <v>185</v>
      </c>
      <c r="G21" s="168">
        <v>12</v>
      </c>
      <c r="H21" s="169">
        <v>1680</v>
      </c>
      <c r="I21" s="176" t="s">
        <v>246</v>
      </c>
      <c r="J21" s="82"/>
      <c r="K21" s="162"/>
      <c r="L21" s="164" t="s">
        <v>195</v>
      </c>
      <c r="M21" s="165" t="s">
        <v>184</v>
      </c>
      <c r="N21" s="164">
        <v>140</v>
      </c>
      <c r="O21" s="165" t="s">
        <v>185</v>
      </c>
      <c r="P21" s="179">
        <v>12</v>
      </c>
      <c r="Q21" s="180">
        <v>1680</v>
      </c>
      <c r="R21" s="163" t="s">
        <v>246</v>
      </c>
    </row>
    <row r="22" spans="2:18" x14ac:dyDescent="0.3">
      <c r="B22" s="162"/>
      <c r="C22" s="164" t="s">
        <v>196</v>
      </c>
      <c r="D22" s="165" t="s">
        <v>182</v>
      </c>
      <c r="E22" s="164">
        <f>AVERAGE(400,900)</f>
        <v>650</v>
      </c>
      <c r="F22" s="165" t="s">
        <v>189</v>
      </c>
      <c r="G22" s="168">
        <v>1</v>
      </c>
      <c r="H22" s="169">
        <v>650</v>
      </c>
      <c r="I22" s="176" t="s">
        <v>247</v>
      </c>
      <c r="J22" s="82"/>
      <c r="K22" s="162"/>
      <c r="L22" s="164" t="s">
        <v>196</v>
      </c>
      <c r="M22" s="165" t="s">
        <v>182</v>
      </c>
      <c r="N22" s="164">
        <f>AVERAGE(400,900)</f>
        <v>650</v>
      </c>
      <c r="O22" s="165" t="s">
        <v>189</v>
      </c>
      <c r="P22" s="179">
        <v>1</v>
      </c>
      <c r="Q22" s="180">
        <v>650</v>
      </c>
      <c r="R22" s="163" t="s">
        <v>247</v>
      </c>
    </row>
    <row r="23" spans="2:18" x14ac:dyDescent="0.3">
      <c r="B23" s="162"/>
      <c r="C23" s="164" t="s">
        <v>197</v>
      </c>
      <c r="D23" s="165" t="s">
        <v>182</v>
      </c>
      <c r="E23" s="164">
        <f>AVERAGE(390,650)*1.1</f>
        <v>572</v>
      </c>
      <c r="F23" s="165" t="s">
        <v>168</v>
      </c>
      <c r="G23" s="168">
        <v>1</v>
      </c>
      <c r="H23" s="169">
        <v>572</v>
      </c>
      <c r="I23" s="163" t="s">
        <v>248</v>
      </c>
      <c r="J23" s="82"/>
      <c r="K23" s="162"/>
      <c r="L23" s="164" t="s">
        <v>197</v>
      </c>
      <c r="M23" s="165" t="s">
        <v>182</v>
      </c>
      <c r="N23" s="164">
        <f>AVERAGE(390,650)*1.1</f>
        <v>572</v>
      </c>
      <c r="O23" s="165" t="s">
        <v>168</v>
      </c>
      <c r="P23" s="179">
        <v>1</v>
      </c>
      <c r="Q23" s="180">
        <v>572</v>
      </c>
      <c r="R23" s="163" t="s">
        <v>248</v>
      </c>
    </row>
    <row r="24" spans="2:18" x14ac:dyDescent="0.3">
      <c r="B24" s="162"/>
      <c r="C24" s="164" t="s">
        <v>198</v>
      </c>
      <c r="D24" s="171" t="s">
        <v>35</v>
      </c>
      <c r="E24" s="164" t="s">
        <v>236</v>
      </c>
      <c r="F24" s="165" t="s">
        <v>170</v>
      </c>
      <c r="G24" s="164" t="s">
        <v>236</v>
      </c>
      <c r="H24" s="164" t="s">
        <v>236</v>
      </c>
      <c r="I24" s="163" t="s">
        <v>237</v>
      </c>
      <c r="J24" s="115"/>
      <c r="K24" s="162"/>
      <c r="L24" s="164" t="s">
        <v>198</v>
      </c>
      <c r="M24" s="171" t="s">
        <v>35</v>
      </c>
      <c r="N24" s="164" t="s">
        <v>236</v>
      </c>
      <c r="O24" s="165" t="s">
        <v>170</v>
      </c>
      <c r="P24" s="170" t="s">
        <v>236</v>
      </c>
      <c r="Q24" s="170" t="s">
        <v>236</v>
      </c>
      <c r="R24" s="163" t="s">
        <v>237</v>
      </c>
    </row>
    <row r="25" spans="2:18" x14ac:dyDescent="0.3">
      <c r="B25" s="162"/>
      <c r="C25" s="164" t="s">
        <v>199</v>
      </c>
      <c r="D25" s="165" t="s">
        <v>200</v>
      </c>
      <c r="E25" s="170">
        <f>AVERAGE(4000,12000)</f>
        <v>8000</v>
      </c>
      <c r="F25" s="165" t="s">
        <v>167</v>
      </c>
      <c r="G25" s="168">
        <v>2</v>
      </c>
      <c r="H25" s="169">
        <v>16000</v>
      </c>
      <c r="I25" s="163" t="s">
        <v>249</v>
      </c>
      <c r="J25" s="115"/>
      <c r="K25" s="162"/>
      <c r="L25" s="164" t="s">
        <v>199</v>
      </c>
      <c r="M25" s="165" t="s">
        <v>200</v>
      </c>
      <c r="N25" s="164">
        <f>AVERAGE(4000,12000)</f>
        <v>8000</v>
      </c>
      <c r="O25" s="165" t="s">
        <v>167</v>
      </c>
      <c r="P25" s="179">
        <v>4</v>
      </c>
      <c r="Q25" s="180">
        <v>32000</v>
      </c>
      <c r="R25" s="163" t="s">
        <v>249</v>
      </c>
    </row>
    <row r="26" spans="2:18" x14ac:dyDescent="0.3">
      <c r="B26" s="162">
        <v>2</v>
      </c>
      <c r="C26" s="157" t="s">
        <v>202</v>
      </c>
      <c r="D26" s="158" t="s">
        <v>176</v>
      </c>
      <c r="E26" s="160">
        <v>1.5</v>
      </c>
      <c r="F26" s="158" t="s">
        <v>169</v>
      </c>
      <c r="G26" s="172">
        <f>1000*2</f>
        <v>2000</v>
      </c>
      <c r="H26" s="173">
        <v>3000</v>
      </c>
      <c r="I26" s="163" t="s">
        <v>239</v>
      </c>
      <c r="J26" s="82"/>
      <c r="K26" s="162">
        <v>2</v>
      </c>
      <c r="L26" s="157" t="s">
        <v>171</v>
      </c>
      <c r="M26" s="158" t="s">
        <v>176</v>
      </c>
      <c r="N26" s="172">
        <v>1.5</v>
      </c>
      <c r="O26" s="158" t="s">
        <v>169</v>
      </c>
      <c r="P26" s="160">
        <f>1000*2</f>
        <v>2000</v>
      </c>
      <c r="Q26" s="159">
        <v>3000</v>
      </c>
      <c r="R26" s="163" t="s">
        <v>239</v>
      </c>
    </row>
    <row r="27" spans="2:18" x14ac:dyDescent="0.3">
      <c r="B27" s="162">
        <v>4</v>
      </c>
      <c r="C27" s="157" t="s">
        <v>172</v>
      </c>
      <c r="D27" s="158" t="s">
        <v>177</v>
      </c>
      <c r="E27" s="174" t="s">
        <v>236</v>
      </c>
      <c r="F27" s="160" t="s">
        <v>178</v>
      </c>
      <c r="G27" s="174" t="s">
        <v>236</v>
      </c>
      <c r="H27" s="174" t="s">
        <v>236</v>
      </c>
      <c r="I27" s="163" t="s">
        <v>237</v>
      </c>
      <c r="J27" s="82"/>
      <c r="K27" s="162">
        <v>4</v>
      </c>
      <c r="L27" s="157" t="s">
        <v>172</v>
      </c>
      <c r="M27" s="158" t="s">
        <v>177</v>
      </c>
      <c r="N27" s="172">
        <v>0.25</v>
      </c>
      <c r="O27" s="158" t="s">
        <v>178</v>
      </c>
      <c r="P27" s="160">
        <f>150*8760/1000</f>
        <v>1314</v>
      </c>
      <c r="Q27" s="161">
        <v>329.5</v>
      </c>
      <c r="R27" s="163" t="s">
        <v>237</v>
      </c>
    </row>
    <row r="28" spans="2:18" x14ac:dyDescent="0.3">
      <c r="B28" s="162">
        <v>5</v>
      </c>
      <c r="C28" s="157" t="s">
        <v>61</v>
      </c>
      <c r="D28" s="158" t="s">
        <v>179</v>
      </c>
      <c r="E28" s="160">
        <v>2000</v>
      </c>
      <c r="F28" s="160" t="s">
        <v>180</v>
      </c>
      <c r="G28" s="160">
        <v>1</v>
      </c>
      <c r="H28" s="161">
        <v>2000</v>
      </c>
      <c r="I28" s="163"/>
      <c r="J28" s="82"/>
      <c r="K28" s="162">
        <v>5</v>
      </c>
      <c r="L28" s="157" t="s">
        <v>61</v>
      </c>
      <c r="M28" s="158" t="s">
        <v>179</v>
      </c>
      <c r="N28" s="172">
        <v>2000</v>
      </c>
      <c r="O28" s="158" t="s">
        <v>180</v>
      </c>
      <c r="P28" s="160">
        <v>2</v>
      </c>
      <c r="Q28" s="161">
        <v>4000</v>
      </c>
      <c r="R28" s="163" t="s">
        <v>241</v>
      </c>
    </row>
    <row r="29" spans="2:18" ht="15" thickBot="1" x14ac:dyDescent="0.35">
      <c r="B29" s="195" t="s">
        <v>62</v>
      </c>
      <c r="C29" s="196"/>
      <c r="D29" s="182"/>
      <c r="E29" s="182"/>
      <c r="F29" s="182"/>
      <c r="G29" s="182"/>
      <c r="H29" s="183">
        <v>126832.5</v>
      </c>
      <c r="I29" s="184"/>
      <c r="K29" s="195" t="s">
        <v>62</v>
      </c>
      <c r="L29" s="196"/>
      <c r="M29" s="182"/>
      <c r="N29" s="182"/>
      <c r="O29" s="182"/>
      <c r="P29" s="182"/>
      <c r="Q29" s="183">
        <v>205332.5</v>
      </c>
      <c r="R29" s="187"/>
    </row>
    <row r="31" spans="2:18" x14ac:dyDescent="0.3">
      <c r="H31" s="84"/>
    </row>
    <row r="32" spans="2:18" x14ac:dyDescent="0.3">
      <c r="B32" s="22" t="s">
        <v>250</v>
      </c>
      <c r="C32" s="155"/>
      <c r="D32" s="22"/>
      <c r="E32" s="22"/>
      <c r="F32" s="22"/>
      <c r="G32" s="22"/>
      <c r="H32" s="22"/>
      <c r="I32" s="22"/>
      <c r="J32" s="22"/>
      <c r="K32" s="22"/>
      <c r="L32" s="22"/>
    </row>
    <row r="33" spans="2:12" x14ac:dyDescent="0.3">
      <c r="B33" s="22" t="s">
        <v>238</v>
      </c>
      <c r="C33" s="22" t="s">
        <v>251</v>
      </c>
      <c r="D33" s="22"/>
      <c r="E33" s="22"/>
      <c r="F33" s="22"/>
      <c r="G33" s="22"/>
      <c r="H33" s="22"/>
      <c r="I33" s="156"/>
      <c r="J33" s="22"/>
      <c r="K33" s="22"/>
      <c r="L33" s="22"/>
    </row>
    <row r="34" spans="2:12" x14ac:dyDescent="0.3">
      <c r="B34" s="22" t="s">
        <v>240</v>
      </c>
      <c r="C34" s="22" t="s">
        <v>252</v>
      </c>
      <c r="D34" s="22"/>
      <c r="E34" s="22"/>
      <c r="F34" s="22"/>
      <c r="G34" s="22"/>
      <c r="H34" s="22"/>
      <c r="I34" s="22"/>
      <c r="J34" s="22"/>
      <c r="K34" s="22"/>
      <c r="L34" s="22"/>
    </row>
    <row r="35" spans="2:12" x14ac:dyDescent="0.3">
      <c r="B35" s="22" t="s">
        <v>241</v>
      </c>
      <c r="C35" s="22" t="s">
        <v>253</v>
      </c>
      <c r="D35" s="22"/>
      <c r="E35" s="22"/>
      <c r="F35" s="22"/>
      <c r="G35" s="22"/>
      <c r="H35" s="22"/>
      <c r="I35" s="22"/>
      <c r="J35" s="22"/>
      <c r="K35" s="22"/>
      <c r="L35" s="22"/>
    </row>
    <row r="36" spans="2:12" x14ac:dyDescent="0.3">
      <c r="B36" s="22" t="s">
        <v>242</v>
      </c>
      <c r="C36" s="22" t="s">
        <v>254</v>
      </c>
      <c r="D36" s="22"/>
      <c r="E36" s="22"/>
      <c r="F36" s="22"/>
      <c r="G36" s="22"/>
      <c r="H36" s="22"/>
      <c r="I36" s="22"/>
      <c r="J36" s="22"/>
      <c r="K36" s="22"/>
      <c r="L36" s="22"/>
    </row>
    <row r="37" spans="2:12" x14ac:dyDescent="0.3">
      <c r="B37" s="22" t="s">
        <v>243</v>
      </c>
      <c r="C37" s="22" t="s">
        <v>255</v>
      </c>
      <c r="D37" s="22"/>
      <c r="E37" s="22"/>
      <c r="F37" s="22"/>
      <c r="G37" s="22"/>
      <c r="H37" s="22"/>
      <c r="I37" s="22"/>
      <c r="J37" s="22"/>
      <c r="K37" s="22"/>
      <c r="L37" s="22"/>
    </row>
    <row r="38" spans="2:12" x14ac:dyDescent="0.3">
      <c r="B38" s="22" t="s">
        <v>244</v>
      </c>
      <c r="C38" s="22" t="s">
        <v>256</v>
      </c>
      <c r="D38" s="22"/>
      <c r="E38" s="22"/>
      <c r="F38" s="22"/>
      <c r="G38" s="22"/>
      <c r="H38" s="22"/>
      <c r="I38" s="22"/>
      <c r="J38" s="22"/>
      <c r="K38" s="22"/>
      <c r="L38" s="22"/>
    </row>
    <row r="39" spans="2:12" x14ac:dyDescent="0.3">
      <c r="B39" s="22" t="s">
        <v>245</v>
      </c>
      <c r="C39" s="22" t="s">
        <v>257</v>
      </c>
      <c r="D39" s="22"/>
      <c r="E39" s="22"/>
      <c r="F39" s="22"/>
      <c r="G39" s="22"/>
      <c r="H39" s="22"/>
      <c r="I39" s="22"/>
      <c r="J39" s="22"/>
      <c r="K39" s="22"/>
      <c r="L39" s="22"/>
    </row>
    <row r="40" spans="2:12" x14ac:dyDescent="0.3">
      <c r="B40" s="22" t="s">
        <v>246</v>
      </c>
      <c r="C40" s="22" t="s">
        <v>258</v>
      </c>
      <c r="D40" s="22"/>
      <c r="E40" s="22"/>
      <c r="F40" s="22"/>
      <c r="G40" s="22"/>
      <c r="H40" s="22"/>
      <c r="I40" s="22"/>
      <c r="J40" s="22"/>
      <c r="K40" s="22"/>
      <c r="L40" s="22"/>
    </row>
    <row r="41" spans="2:12" x14ac:dyDescent="0.3">
      <c r="B41" s="22" t="s">
        <v>247</v>
      </c>
      <c r="C41" s="22" t="s">
        <v>259</v>
      </c>
      <c r="D41" s="22"/>
      <c r="E41" s="22"/>
      <c r="F41" s="22"/>
      <c r="G41" s="22"/>
      <c r="H41" s="22"/>
      <c r="I41" s="22"/>
      <c r="J41" s="22"/>
      <c r="K41" s="22"/>
      <c r="L41" s="22"/>
    </row>
    <row r="42" spans="2:12" x14ac:dyDescent="0.3">
      <c r="B42" s="22" t="s">
        <v>248</v>
      </c>
      <c r="C42" s="22" t="s">
        <v>260</v>
      </c>
      <c r="D42" s="22"/>
      <c r="E42" s="22"/>
      <c r="F42" s="22"/>
      <c r="G42" s="22"/>
      <c r="H42" s="22"/>
      <c r="I42" s="22"/>
      <c r="J42" s="22"/>
      <c r="K42" s="22"/>
      <c r="L42" s="22"/>
    </row>
    <row r="43" spans="2:12" x14ac:dyDescent="0.3">
      <c r="B43" s="22" t="s">
        <v>249</v>
      </c>
      <c r="C43" s="22" t="s">
        <v>261</v>
      </c>
      <c r="D43" s="22"/>
      <c r="E43" s="22"/>
      <c r="F43" s="22"/>
      <c r="G43" s="22"/>
      <c r="H43" s="22"/>
      <c r="I43" s="22"/>
      <c r="J43" s="22"/>
      <c r="K43" s="22"/>
      <c r="L43" s="22"/>
    </row>
    <row r="44" spans="2:12" x14ac:dyDescent="0.3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spans="2:12" x14ac:dyDescent="0.3"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</row>
    <row r="46" spans="2:12" x14ac:dyDescent="0.3"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2:12" x14ac:dyDescent="0.3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</row>
  </sheetData>
  <mergeCells count="8">
    <mergeCell ref="B29:C29"/>
    <mergeCell ref="K29:L29"/>
    <mergeCell ref="B4:I4"/>
    <mergeCell ref="K4:R4"/>
    <mergeCell ref="B11:C11"/>
    <mergeCell ref="K11:L11"/>
    <mergeCell ref="B13:I13"/>
    <mergeCell ref="K13:R13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A28D-A43A-41DA-8FB1-C7320FC884DD}">
  <dimension ref="A1:AB36"/>
  <sheetViews>
    <sheetView showGridLines="0" workbookViewId="0">
      <selection activeCell="I26" sqref="I26"/>
    </sheetView>
  </sheetViews>
  <sheetFormatPr defaultRowHeight="14.4" x14ac:dyDescent="0.3"/>
  <cols>
    <col min="1" max="1" width="8.88671875" style="14"/>
    <col min="2" max="2" width="30.33203125" customWidth="1"/>
    <col min="3" max="3" width="12.33203125" bestFit="1" customWidth="1"/>
    <col min="4" max="4" width="11.88671875" style="3" customWidth="1"/>
    <col min="5" max="5" width="13.6640625" style="3" customWidth="1"/>
    <col min="6" max="6" width="29" customWidth="1"/>
    <col min="7" max="7" width="6.109375" customWidth="1"/>
    <col min="8" max="8" width="5.33203125" customWidth="1"/>
    <col min="9" max="13" width="27.5546875" customWidth="1"/>
  </cols>
  <sheetData>
    <row r="1" spans="2:13" x14ac:dyDescent="0.3">
      <c r="C1" s="29" t="s">
        <v>68</v>
      </c>
      <c r="D1" s="30"/>
      <c r="E1" s="30">
        <v>120</v>
      </c>
      <c r="F1" s="29" t="s">
        <v>49</v>
      </c>
    </row>
    <row r="2" spans="2:13" ht="18.600000000000001" thickBot="1" x14ac:dyDescent="0.4">
      <c r="B2" s="28" t="s">
        <v>67</v>
      </c>
      <c r="D2" s="18"/>
      <c r="E2" s="18"/>
      <c r="H2" s="28" t="s">
        <v>235</v>
      </c>
    </row>
    <row r="3" spans="2:13" ht="15" thickBot="1" x14ac:dyDescent="0.35">
      <c r="B3" s="50" t="s">
        <v>69</v>
      </c>
      <c r="C3" s="51" t="s">
        <v>44</v>
      </c>
      <c r="D3" s="52">
        <v>25</v>
      </c>
      <c r="E3" s="53"/>
      <c r="F3" s="54"/>
      <c r="H3" s="41" t="s">
        <v>80</v>
      </c>
      <c r="I3" s="42" t="s">
        <v>81</v>
      </c>
      <c r="J3" s="43" t="str">
        <f>'COMPARISON RESULTs'!D4</f>
        <v>LiDAR_1</v>
      </c>
      <c r="K3" s="43" t="str">
        <f>'COMPARISON RESULTs'!E4</f>
        <v>LiDAR_2</v>
      </c>
      <c r="L3" s="43" t="str">
        <f>'COMPARISON RESULTs'!F4</f>
        <v>UAV_2</v>
      </c>
      <c r="M3" s="43" t="str">
        <f>'COMPARISON RESULTs'!G4</f>
        <v>UAV_4</v>
      </c>
    </row>
    <row r="4" spans="2:13" x14ac:dyDescent="0.3">
      <c r="B4" s="55" t="s">
        <v>45</v>
      </c>
      <c r="C4" s="4" t="s">
        <v>46</v>
      </c>
      <c r="D4" s="56">
        <f>AVERAGE(1300000,1900000)</f>
        <v>1600000</v>
      </c>
      <c r="E4" s="57">
        <f>D4*E1</f>
        <v>192000000</v>
      </c>
      <c r="F4" s="24" t="s">
        <v>52</v>
      </c>
      <c r="H4" s="47" t="s">
        <v>96</v>
      </c>
      <c r="I4" s="48"/>
      <c r="J4" s="49"/>
      <c r="K4" s="49"/>
      <c r="L4" s="49"/>
      <c r="M4" s="49"/>
    </row>
    <row r="5" spans="2:13" ht="28.8" x14ac:dyDescent="0.3">
      <c r="B5" s="74" t="s">
        <v>74</v>
      </c>
      <c r="C5" t="s">
        <v>46</v>
      </c>
      <c r="D5" s="59">
        <f>D4*10%</f>
        <v>160000</v>
      </c>
      <c r="E5" s="60"/>
      <c r="F5" s="24" t="s">
        <v>77</v>
      </c>
      <c r="H5" s="31"/>
      <c r="I5" s="32" t="s">
        <v>85</v>
      </c>
      <c r="J5" s="37">
        <f>'COMPARISON RESULTs'!D12</f>
        <v>468892.96510355844</v>
      </c>
      <c r="K5" s="37">
        <f>'COMPARISON RESULTs'!E12</f>
        <v>470760.89447398402</v>
      </c>
      <c r="L5" s="37">
        <f>'COMPARISON RESULTs'!F12</f>
        <v>471390.14329943666</v>
      </c>
      <c r="M5" s="37">
        <f>'COMPARISON RESULTs'!G12</f>
        <v>472423.10833507078</v>
      </c>
    </row>
    <row r="6" spans="2:13" x14ac:dyDescent="0.3">
      <c r="B6" s="58" t="s">
        <v>47</v>
      </c>
      <c r="C6" t="s">
        <v>46</v>
      </c>
      <c r="D6" s="59">
        <f>D4-D5</f>
        <v>1440000</v>
      </c>
      <c r="E6" s="60"/>
      <c r="F6" s="24" t="s">
        <v>78</v>
      </c>
      <c r="H6" s="31"/>
      <c r="I6" s="32" t="s">
        <v>86</v>
      </c>
      <c r="J6" s="37">
        <f>'COMPARISON RESULTs'!D17</f>
        <v>457106.35618618457</v>
      </c>
      <c r="K6" s="37">
        <f>'COMPARISON RESULTs'!E17</f>
        <v>463535.7978336633</v>
      </c>
      <c r="L6" s="37">
        <f>'COMPARISON RESULTs'!F17</f>
        <v>468140.86127648462</v>
      </c>
      <c r="M6" s="37">
        <f>'COMPARISON RESULTs'!G17</f>
        <v>472303.48972004623</v>
      </c>
    </row>
    <row r="7" spans="2:13" x14ac:dyDescent="0.3">
      <c r="B7" s="55" t="s">
        <v>48</v>
      </c>
      <c r="C7" s="4" t="s">
        <v>50</v>
      </c>
      <c r="D7" s="59"/>
      <c r="E7" s="57">
        <f>E8+E9</f>
        <v>7122250.7557249088</v>
      </c>
      <c r="F7" s="24"/>
      <c r="H7" s="31"/>
      <c r="I7" s="32" t="s">
        <v>87</v>
      </c>
      <c r="J7" s="38">
        <f>J6/J5</f>
        <v>0.97486290092927563</v>
      </c>
      <c r="K7" s="38">
        <f>K6/K5</f>
        <v>0.9846523007218051</v>
      </c>
      <c r="L7" s="38">
        <f>L6/L5</f>
        <v>0.99310702171197496</v>
      </c>
      <c r="M7" s="38">
        <f>M6/M5</f>
        <v>0.99974679770545916</v>
      </c>
    </row>
    <row r="8" spans="2:13" x14ac:dyDescent="0.3">
      <c r="B8" s="58" t="s">
        <v>75</v>
      </c>
      <c r="C8" t="s">
        <v>50</v>
      </c>
      <c r="D8" s="59">
        <f>32*1000</f>
        <v>32000</v>
      </c>
      <c r="E8" s="59">
        <f>D8*E1</f>
        <v>3840000</v>
      </c>
      <c r="F8" s="24" t="s">
        <v>52</v>
      </c>
      <c r="H8" s="31"/>
      <c r="I8" s="32" t="s">
        <v>88</v>
      </c>
      <c r="J8" s="37">
        <f>'COMPARISON RESULTs'!D15</f>
        <v>8916.1348131773702</v>
      </c>
      <c r="K8" s="37">
        <f>'COMPARISON RESULTs'!E15</f>
        <v>5515.1485623816225</v>
      </c>
      <c r="L8" s="37">
        <f>'COMPARISON RESULTs'!F15</f>
        <v>2385.3671554076936</v>
      </c>
      <c r="M8" s="37">
        <f>'COMPARISON RESULTs'!G15</f>
        <v>92.086515442365908</v>
      </c>
    </row>
    <row r="9" spans="2:13" ht="15" thickBot="1" x14ac:dyDescent="0.35">
      <c r="B9" s="61" t="s">
        <v>76</v>
      </c>
      <c r="C9" s="26" t="s">
        <v>70</v>
      </c>
      <c r="D9" s="62">
        <f>0.007*1000</f>
        <v>7</v>
      </c>
      <c r="E9" s="62">
        <f>D9*'COMPARISON RESULTs'!D12</f>
        <v>3282250.7557249092</v>
      </c>
      <c r="F9" s="27" t="s">
        <v>52</v>
      </c>
      <c r="H9" s="33"/>
      <c r="I9" s="34" t="s">
        <v>89</v>
      </c>
      <c r="J9" s="39">
        <f>'COMPARISON RESULTs'!D16</f>
        <v>1.9015288086500031E-2</v>
      </c>
      <c r="K9" s="39">
        <f>'COMPARISON RESULTs'!E16</f>
        <v>1.1715392308751784E-2</v>
      </c>
      <c r="L9" s="39">
        <f>'COMPARISON RESULTs'!F16</f>
        <v>5.060282208515462E-3</v>
      </c>
      <c r="M9" s="39">
        <f>'COMPARISON RESULTs'!G16</f>
        <v>1.9492381684482003E-4</v>
      </c>
    </row>
    <row r="10" spans="2:13" x14ac:dyDescent="0.3">
      <c r="D10" s="18"/>
      <c r="E10" s="18"/>
      <c r="H10" s="47" t="s">
        <v>95</v>
      </c>
      <c r="I10" s="48"/>
      <c r="J10" s="49"/>
      <c r="K10" s="49"/>
      <c r="L10" s="49"/>
      <c r="M10" s="49"/>
    </row>
    <row r="11" spans="2:13" ht="18.600000000000001" thickBot="1" x14ac:dyDescent="0.4">
      <c r="B11" s="28" t="s">
        <v>92</v>
      </c>
      <c r="D11" s="18"/>
      <c r="E11" s="18"/>
      <c r="H11" s="31"/>
      <c r="I11" s="71" t="s">
        <v>125</v>
      </c>
      <c r="J11" s="37">
        <f>'Renting LiDAR - UAVs'!H11</f>
        <v>75589.5</v>
      </c>
      <c r="K11" s="37">
        <f>'Renting LiDAR - UAVs'!Q11</f>
        <v>148180</v>
      </c>
      <c r="L11" s="37">
        <f>'Renting LiDAR - UAVs'!H29</f>
        <v>126832.5</v>
      </c>
      <c r="M11" s="37">
        <f>'Renting LiDAR - UAVs'!Q29</f>
        <v>205332.5</v>
      </c>
    </row>
    <row r="12" spans="2:13" ht="15" thickBot="1" x14ac:dyDescent="0.35">
      <c r="B12" s="50" t="s">
        <v>71</v>
      </c>
      <c r="C12" s="51" t="s">
        <v>70</v>
      </c>
      <c r="D12" s="63">
        <f>AVERAGE(57.3,73.5)</f>
        <v>65.400000000000006</v>
      </c>
      <c r="E12" s="52"/>
      <c r="F12" s="64" t="s">
        <v>72</v>
      </c>
      <c r="H12" s="31"/>
      <c r="I12" s="71" t="s">
        <v>126</v>
      </c>
      <c r="J12" s="37">
        <f>J11-$J$11</f>
        <v>0</v>
      </c>
      <c r="K12" s="37">
        <f t="shared" ref="K12:M12" si="0">K11-$J$11</f>
        <v>72590.5</v>
      </c>
      <c r="L12" s="37">
        <f t="shared" si="0"/>
        <v>51243</v>
      </c>
      <c r="M12" s="37">
        <f t="shared" si="0"/>
        <v>129743</v>
      </c>
    </row>
    <row r="13" spans="2:13" ht="15" thickBot="1" x14ac:dyDescent="0.35">
      <c r="B13" s="25"/>
      <c r="C13" s="26"/>
      <c r="D13" s="62"/>
      <c r="E13" s="62"/>
      <c r="F13" s="27" t="s">
        <v>73</v>
      </c>
      <c r="H13" s="47" t="s">
        <v>107</v>
      </c>
      <c r="I13" s="88"/>
      <c r="J13" s="49"/>
      <c r="K13" s="49"/>
      <c r="L13" s="49"/>
      <c r="M13" s="49"/>
    </row>
    <row r="14" spans="2:13" x14ac:dyDescent="0.3">
      <c r="H14" s="31"/>
      <c r="I14" s="89" t="s">
        <v>104</v>
      </c>
      <c r="J14" s="76">
        <f>D24</f>
        <v>1.35</v>
      </c>
      <c r="K14" s="76">
        <f>J14</f>
        <v>1.35</v>
      </c>
      <c r="L14" s="76">
        <f>J14</f>
        <v>1.35</v>
      </c>
      <c r="M14" s="76">
        <f>J14</f>
        <v>1.35</v>
      </c>
    </row>
    <row r="15" spans="2:13" ht="18.600000000000001" thickBot="1" x14ac:dyDescent="0.4">
      <c r="B15" s="28" t="s">
        <v>109</v>
      </c>
      <c r="D15" s="18"/>
      <c r="E15" s="18"/>
      <c r="H15" s="31"/>
      <c r="I15" s="89" t="s">
        <v>112</v>
      </c>
      <c r="J15" s="37">
        <f>$D$12*J6</f>
        <v>29894755.694576472</v>
      </c>
      <c r="K15" s="37">
        <f>$D$12*K6</f>
        <v>30315241.178321581</v>
      </c>
      <c r="L15" s="37">
        <f>$D$12*L6</f>
        <v>30616412.327482097</v>
      </c>
      <c r="M15" s="37">
        <f>$D$12*M6</f>
        <v>30888648.227691025</v>
      </c>
    </row>
    <row r="16" spans="2:13" x14ac:dyDescent="0.3">
      <c r="B16" s="50" t="s">
        <v>108</v>
      </c>
      <c r="C16" s="51" t="s">
        <v>43</v>
      </c>
      <c r="D16" s="65">
        <v>0.8</v>
      </c>
      <c r="E16" s="52"/>
      <c r="F16" s="54" t="s">
        <v>52</v>
      </c>
      <c r="H16" s="31"/>
      <c r="I16" s="89" t="s">
        <v>111</v>
      </c>
      <c r="J16" s="37">
        <f>-($E$8+$D$9*J6)</f>
        <v>-7039744.4933032915</v>
      </c>
      <c r="K16" s="37">
        <f>-($E$8+$D$9*K6)</f>
        <v>-7084750.5848356429</v>
      </c>
      <c r="L16" s="37">
        <f>-($E$8+$D$9*L6)</f>
        <v>-7116986.0289353924</v>
      </c>
      <c r="M16" s="37">
        <f>-($E$8+$D$9*M6)</f>
        <v>-7146124.4280403238</v>
      </c>
    </row>
    <row r="17" spans="1:27" x14ac:dyDescent="0.3">
      <c r="B17" s="23" t="s">
        <v>115</v>
      </c>
      <c r="C17" t="s">
        <v>43</v>
      </c>
      <c r="D17" s="66">
        <f>1-D16</f>
        <v>0.19999999999999996</v>
      </c>
      <c r="E17" s="59"/>
      <c r="F17" s="24" t="s">
        <v>52</v>
      </c>
      <c r="H17" s="31"/>
      <c r="I17" s="89" t="s">
        <v>114</v>
      </c>
      <c r="J17" s="37">
        <f>-(J15+J16)/J14</f>
        <v>-16929637.92686902</v>
      </c>
      <c r="K17" s="37">
        <f>-(K15+K16)/K14</f>
        <v>-17207770.809989583</v>
      </c>
      <c r="L17" s="37">
        <f>-(L15+L16)/L14</f>
        <v>-17406982.443367928</v>
      </c>
      <c r="M17" s="37">
        <f t="shared" ref="M17" si="1">-(M15+M16)/M14</f>
        <v>-17587054.666407924</v>
      </c>
    </row>
    <row r="18" spans="1:27" x14ac:dyDescent="0.3">
      <c r="B18" s="23" t="s">
        <v>147</v>
      </c>
      <c r="C18" t="s">
        <v>43</v>
      </c>
      <c r="D18" s="66">
        <v>5.5E-2</v>
      </c>
      <c r="E18" s="59"/>
      <c r="F18" s="24" t="s">
        <v>52</v>
      </c>
      <c r="H18" s="23"/>
      <c r="I18" s="89" t="s">
        <v>153</v>
      </c>
      <c r="J18" s="90">
        <f>-J17*(1-(1+$D$18)^(-15))/$D$18</f>
        <v>169932611.03461057</v>
      </c>
      <c r="K18" s="90">
        <f>-K17*(1-(1+$D$18)^(-15))/$D$18</f>
        <v>172724392.36197427</v>
      </c>
      <c r="L18" s="90">
        <f t="shared" ref="L18:M18" si="2">-L17*(1-(1+$D$18)^(-15))/$D$18</f>
        <v>174723995.25689057</v>
      </c>
      <c r="M18" s="90">
        <f t="shared" si="2"/>
        <v>176531484.77132535</v>
      </c>
    </row>
    <row r="19" spans="1:27" x14ac:dyDescent="0.3">
      <c r="B19" s="23" t="s">
        <v>148</v>
      </c>
      <c r="C19" t="s">
        <v>43</v>
      </c>
      <c r="D19" s="66">
        <v>7.0000000000000007E-2</v>
      </c>
      <c r="E19" s="59"/>
      <c r="F19" s="24" t="s">
        <v>52</v>
      </c>
      <c r="H19" s="23"/>
      <c r="I19" s="89" t="s">
        <v>118</v>
      </c>
      <c r="J19" s="90">
        <f>E4-J18</f>
        <v>22067388.965389431</v>
      </c>
      <c r="K19" s="90">
        <f>$E$4-K12-K18</f>
        <v>19203017.138025731</v>
      </c>
      <c r="L19" s="90">
        <f>$E$4-L12-L18</f>
        <v>17224761.743109435</v>
      </c>
      <c r="M19" s="90">
        <f>$E$4-M12-M18</f>
        <v>15338772.22867465</v>
      </c>
    </row>
    <row r="20" spans="1:27" x14ac:dyDescent="0.3">
      <c r="B20" s="67"/>
      <c r="C20" s="21"/>
      <c r="D20" s="68"/>
      <c r="E20" s="69"/>
      <c r="F20" s="70"/>
      <c r="H20" s="23"/>
      <c r="I20" s="89" t="s">
        <v>113</v>
      </c>
      <c r="J20" s="91">
        <f>J18/$E$4</f>
        <v>0.88506568247193007</v>
      </c>
      <c r="K20" s="91">
        <f>K18/$E$4</f>
        <v>0.89960621021861598</v>
      </c>
      <c r="L20" s="91">
        <f>L18/$E$4</f>
        <v>0.91002080862963841</v>
      </c>
      <c r="M20" s="91">
        <f>M18/$E$4</f>
        <v>0.91943481651731951</v>
      </c>
    </row>
    <row r="21" spans="1:27" x14ac:dyDescent="0.3">
      <c r="B21" s="67"/>
      <c r="C21" s="21"/>
      <c r="D21" s="68"/>
      <c r="E21" s="69"/>
      <c r="F21" s="70"/>
      <c r="H21" s="23"/>
      <c r="I21" s="89" t="s">
        <v>113</v>
      </c>
      <c r="J21" s="77">
        <f>1-J20</f>
        <v>0.11493431752806993</v>
      </c>
      <c r="K21" s="77">
        <f t="shared" ref="K21:M21" si="3">1-K20</f>
        <v>0.10039378978138402</v>
      </c>
      <c r="L21" s="77">
        <f t="shared" si="3"/>
        <v>8.9979191370361589E-2</v>
      </c>
      <c r="M21" s="77">
        <f t="shared" si="3"/>
        <v>8.0565183482680491E-2</v>
      </c>
    </row>
    <row r="22" spans="1:27" x14ac:dyDescent="0.3">
      <c r="B22" s="67"/>
      <c r="C22" s="21"/>
      <c r="D22" s="68"/>
      <c r="E22" s="69"/>
      <c r="F22" s="70"/>
      <c r="H22" s="23"/>
      <c r="I22" s="89" t="s">
        <v>117</v>
      </c>
      <c r="J22" s="92">
        <f>(J19/$E$4*$D$19)+(J18/$E$4*$D$18*(1-$D$25))</f>
        <v>4.6988292255729827E-2</v>
      </c>
      <c r="K22" s="92">
        <f>(K19/$E$4*$D$19)+(K18/$E$4*$D$18*(1-$D$25))</f>
        <v>4.658377324785766E-2</v>
      </c>
      <c r="L22" s="92">
        <f t="shared" ref="L22:M22" si="4">(L19/$E$4*$D$19)+(L18/$E$4*$D$18*(1-$D$25))</f>
        <v>4.6320776631879411E-2</v>
      </c>
      <c r="M22" s="92">
        <f t="shared" si="4"/>
        <v>4.6047392635133029E-2</v>
      </c>
    </row>
    <row r="23" spans="1:27" ht="15" thickBot="1" x14ac:dyDescent="0.35">
      <c r="B23" s="23" t="s">
        <v>51</v>
      </c>
      <c r="C23" t="s">
        <v>43</v>
      </c>
      <c r="D23" s="66">
        <v>5.8000000000000003E-2</v>
      </c>
      <c r="E23" s="59"/>
      <c r="F23" s="24" t="s">
        <v>52</v>
      </c>
      <c r="H23" s="23"/>
      <c r="I23" s="89" t="s">
        <v>124</v>
      </c>
      <c r="J23" s="90">
        <f>'Yearly cashflow'!C11</f>
        <v>73655594.225513071</v>
      </c>
      <c r="K23" s="90">
        <f>'Yearly cashflow'!C24</f>
        <v>79208524.111213207</v>
      </c>
      <c r="L23" s="90">
        <f>'Yearly cashflow'!C37</f>
        <v>83063815.547561079</v>
      </c>
      <c r="M23" s="90">
        <f>'Yearly cashflow'!C50</f>
        <v>86765321.530988112</v>
      </c>
    </row>
    <row r="24" spans="1:27" ht="15" thickBot="1" x14ac:dyDescent="0.35">
      <c r="B24" s="23" t="s">
        <v>104</v>
      </c>
      <c r="D24" s="72">
        <v>1.35</v>
      </c>
      <c r="E24" s="59"/>
      <c r="F24" s="24" t="s">
        <v>139</v>
      </c>
      <c r="H24" s="139"/>
      <c r="I24" s="140" t="s">
        <v>150</v>
      </c>
      <c r="J24" s="143">
        <f>'Yearly cashflow'!C13</f>
        <v>44.309894348914021</v>
      </c>
      <c r="K24" s="141">
        <f>'Yearly cashflow'!C26</f>
        <v>43.664321117955232</v>
      </c>
      <c r="L24" s="143">
        <f>'Yearly cashflow'!C39</f>
        <v>43.231391415721454</v>
      </c>
      <c r="M24" s="142">
        <f>'Yearly cashflow'!C52</f>
        <v>42.823161207451349</v>
      </c>
    </row>
    <row r="25" spans="1:27" ht="15" thickBot="1" x14ac:dyDescent="0.35">
      <c r="B25" s="25" t="s">
        <v>110</v>
      </c>
      <c r="C25" s="26"/>
      <c r="D25" s="75">
        <v>0.2</v>
      </c>
      <c r="E25" s="62"/>
      <c r="F25" s="27" t="s">
        <v>139</v>
      </c>
    </row>
    <row r="26" spans="1:27" x14ac:dyDescent="0.3">
      <c r="J26" s="3"/>
      <c r="K26" s="3"/>
      <c r="L26" s="3"/>
      <c r="M26" s="3"/>
    </row>
    <row r="27" spans="1:27" x14ac:dyDescent="0.3">
      <c r="K27" s="100"/>
      <c r="L27" s="100"/>
      <c r="M27" s="100"/>
    </row>
    <row r="28" spans="1:27" x14ac:dyDescent="0.3">
      <c r="B28" t="s">
        <v>97</v>
      </c>
      <c r="D28"/>
      <c r="E28"/>
    </row>
    <row r="29" spans="1:27" x14ac:dyDescent="0.3">
      <c r="A29" t="s">
        <v>98</v>
      </c>
      <c r="B29" t="s">
        <v>99</v>
      </c>
      <c r="D29"/>
      <c r="E29"/>
    </row>
    <row r="30" spans="1:27" x14ac:dyDescent="0.3">
      <c r="A30"/>
      <c r="B30" t="s">
        <v>102</v>
      </c>
      <c r="D30"/>
      <c r="E30"/>
      <c r="H30" s="3"/>
      <c r="I30" s="3"/>
      <c r="K30" s="3"/>
      <c r="L30" s="3"/>
    </row>
    <row r="31" spans="1:27" x14ac:dyDescent="0.3">
      <c r="A31"/>
      <c r="B31" t="s">
        <v>100</v>
      </c>
      <c r="D31"/>
      <c r="E31"/>
    </row>
    <row r="32" spans="1:27" x14ac:dyDescent="0.3">
      <c r="A32"/>
      <c r="B32" t="s">
        <v>101</v>
      </c>
      <c r="D32"/>
      <c r="E32"/>
      <c r="H32" s="3"/>
      <c r="I32" s="3"/>
      <c r="J32" s="3"/>
      <c r="K32" s="3"/>
      <c r="L32" s="3"/>
      <c r="M32" s="3"/>
      <c r="N32" s="3"/>
      <c r="O32" s="3"/>
      <c r="Q32" s="3"/>
      <c r="R32" s="3"/>
      <c r="T32" s="3"/>
      <c r="U32" s="3"/>
      <c r="W32" s="3"/>
      <c r="X32" s="3"/>
      <c r="Z32" s="3"/>
      <c r="AA32" s="3"/>
    </row>
    <row r="33" spans="1:28" x14ac:dyDescent="0.3">
      <c r="A33"/>
      <c r="B33" t="s">
        <v>104</v>
      </c>
      <c r="C33" s="22">
        <v>1.2</v>
      </c>
      <c r="D33" t="s">
        <v>103</v>
      </c>
      <c r="E33"/>
    </row>
    <row r="34" spans="1:28" x14ac:dyDescent="0.3">
      <c r="A34"/>
      <c r="B34" t="s">
        <v>104</v>
      </c>
      <c r="C34" s="73">
        <v>1.35</v>
      </c>
      <c r="D34" t="s">
        <v>106</v>
      </c>
      <c r="E34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/>
      <c r="B35" t="s">
        <v>104</v>
      </c>
      <c r="C35" s="22">
        <v>1.5</v>
      </c>
      <c r="D35" t="s">
        <v>105</v>
      </c>
      <c r="E35"/>
    </row>
    <row r="36" spans="1:28" x14ac:dyDescent="0.3">
      <c r="D36" s="17"/>
    </row>
  </sheetData>
  <phoneticPr fontId="11" type="noConversion"/>
  <hyperlinks>
    <hyperlink ref="F12" r:id="rId1" display="Source: " xr:uid="{7C64B93C-BBF8-4466-BA80-DCEE7515664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A843-22BC-4736-A830-877FEF34A362}">
  <dimension ref="B3:AB54"/>
  <sheetViews>
    <sheetView showGridLines="0" tabSelected="1" topLeftCell="A8" workbookViewId="0">
      <selection activeCell="A43" sqref="A43:XFD43"/>
    </sheetView>
  </sheetViews>
  <sheetFormatPr defaultRowHeight="14.4" x14ac:dyDescent="0.3"/>
  <cols>
    <col min="2" max="2" width="17.5546875" customWidth="1"/>
    <col min="3" max="3" width="15.5546875" bestFit="1" customWidth="1"/>
    <col min="4" max="4" width="11.88671875" customWidth="1"/>
    <col min="5" max="28" width="11.6640625" customWidth="1"/>
  </cols>
  <sheetData>
    <row r="3" spans="2:28" ht="15" thickBot="1" x14ac:dyDescent="0.35">
      <c r="B3" t="s">
        <v>19</v>
      </c>
      <c r="C3">
        <v>0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</row>
    <row r="4" spans="2:28" x14ac:dyDescent="0.3">
      <c r="B4" s="144" t="s">
        <v>119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6"/>
    </row>
    <row r="5" spans="2:28" x14ac:dyDescent="0.3">
      <c r="B5" s="23" t="s">
        <v>45</v>
      </c>
      <c r="C5" s="129">
        <f>-'Project finance'!E4</f>
        <v>-192000000</v>
      </c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98"/>
    </row>
    <row r="6" spans="2:28" x14ac:dyDescent="0.3">
      <c r="B6" s="23" t="s">
        <v>48</v>
      </c>
      <c r="C6" s="129"/>
      <c r="D6" s="129">
        <f>'Project finance'!J16</f>
        <v>-7039744.4933032915</v>
      </c>
      <c r="E6" s="129">
        <f>D6</f>
        <v>-7039744.4933032915</v>
      </c>
      <c r="F6" s="129">
        <f t="shared" ref="F6:AB6" si="0">E6</f>
        <v>-7039744.4933032915</v>
      </c>
      <c r="G6" s="129">
        <f t="shared" si="0"/>
        <v>-7039744.4933032915</v>
      </c>
      <c r="H6" s="129">
        <f t="shared" si="0"/>
        <v>-7039744.4933032915</v>
      </c>
      <c r="I6" s="129">
        <f t="shared" si="0"/>
        <v>-7039744.4933032915</v>
      </c>
      <c r="J6" s="129">
        <f t="shared" si="0"/>
        <v>-7039744.4933032915</v>
      </c>
      <c r="K6" s="129">
        <f t="shared" si="0"/>
        <v>-7039744.4933032915</v>
      </c>
      <c r="L6" s="129">
        <f t="shared" si="0"/>
        <v>-7039744.4933032915</v>
      </c>
      <c r="M6" s="129">
        <f t="shared" si="0"/>
        <v>-7039744.4933032915</v>
      </c>
      <c r="N6" s="129">
        <f t="shared" si="0"/>
        <v>-7039744.4933032915</v>
      </c>
      <c r="O6" s="129">
        <f t="shared" si="0"/>
        <v>-7039744.4933032915</v>
      </c>
      <c r="P6" s="129">
        <f t="shared" si="0"/>
        <v>-7039744.4933032915</v>
      </c>
      <c r="Q6" s="129">
        <f t="shared" si="0"/>
        <v>-7039744.4933032915</v>
      </c>
      <c r="R6" s="129">
        <f t="shared" si="0"/>
        <v>-7039744.4933032915</v>
      </c>
      <c r="S6" s="129">
        <f t="shared" si="0"/>
        <v>-7039744.4933032915</v>
      </c>
      <c r="T6" s="129">
        <f t="shared" si="0"/>
        <v>-7039744.4933032915</v>
      </c>
      <c r="U6" s="129">
        <f t="shared" si="0"/>
        <v>-7039744.4933032915</v>
      </c>
      <c r="V6" s="129">
        <f t="shared" si="0"/>
        <v>-7039744.4933032915</v>
      </c>
      <c r="W6" s="129">
        <f t="shared" si="0"/>
        <v>-7039744.4933032915</v>
      </c>
      <c r="X6" s="129">
        <f t="shared" si="0"/>
        <v>-7039744.4933032915</v>
      </c>
      <c r="Y6" s="129">
        <f t="shared" si="0"/>
        <v>-7039744.4933032915</v>
      </c>
      <c r="Z6" s="129">
        <f t="shared" si="0"/>
        <v>-7039744.4933032915</v>
      </c>
      <c r="AA6" s="129">
        <f t="shared" si="0"/>
        <v>-7039744.4933032915</v>
      </c>
      <c r="AB6" s="98">
        <f t="shared" si="0"/>
        <v>-7039744.4933032915</v>
      </c>
    </row>
    <row r="7" spans="2:28" x14ac:dyDescent="0.3">
      <c r="B7" s="23" t="s">
        <v>94</v>
      </c>
      <c r="D7" s="129">
        <f>'Project finance'!J15</f>
        <v>29894755.694576472</v>
      </c>
      <c r="E7" s="5">
        <f>D7</f>
        <v>29894755.694576472</v>
      </c>
      <c r="F7" s="5">
        <f t="shared" ref="F7:AB7" si="1">E7</f>
        <v>29894755.694576472</v>
      </c>
      <c r="G7" s="5">
        <f t="shared" si="1"/>
        <v>29894755.694576472</v>
      </c>
      <c r="H7" s="5">
        <f t="shared" si="1"/>
        <v>29894755.694576472</v>
      </c>
      <c r="I7" s="5">
        <f t="shared" si="1"/>
        <v>29894755.694576472</v>
      </c>
      <c r="J7" s="5">
        <f t="shared" si="1"/>
        <v>29894755.694576472</v>
      </c>
      <c r="K7" s="5">
        <f t="shared" si="1"/>
        <v>29894755.694576472</v>
      </c>
      <c r="L7" s="5">
        <f t="shared" si="1"/>
        <v>29894755.694576472</v>
      </c>
      <c r="M7" s="5">
        <f t="shared" si="1"/>
        <v>29894755.694576472</v>
      </c>
      <c r="N7" s="5">
        <f t="shared" si="1"/>
        <v>29894755.694576472</v>
      </c>
      <c r="O7" s="5">
        <f t="shared" si="1"/>
        <v>29894755.694576472</v>
      </c>
      <c r="P7" s="5">
        <f t="shared" si="1"/>
        <v>29894755.694576472</v>
      </c>
      <c r="Q7" s="5">
        <f t="shared" si="1"/>
        <v>29894755.694576472</v>
      </c>
      <c r="R7" s="5">
        <f t="shared" si="1"/>
        <v>29894755.694576472</v>
      </c>
      <c r="S7" s="5">
        <f t="shared" si="1"/>
        <v>29894755.694576472</v>
      </c>
      <c r="T7" s="5">
        <f t="shared" si="1"/>
        <v>29894755.694576472</v>
      </c>
      <c r="U7" s="5">
        <f t="shared" si="1"/>
        <v>29894755.694576472</v>
      </c>
      <c r="V7" s="5">
        <f t="shared" si="1"/>
        <v>29894755.694576472</v>
      </c>
      <c r="W7" s="5">
        <f t="shared" si="1"/>
        <v>29894755.694576472</v>
      </c>
      <c r="X7" s="5">
        <f t="shared" si="1"/>
        <v>29894755.694576472</v>
      </c>
      <c r="Y7" s="5">
        <f t="shared" si="1"/>
        <v>29894755.694576472</v>
      </c>
      <c r="Z7" s="5">
        <f t="shared" si="1"/>
        <v>29894755.694576472</v>
      </c>
      <c r="AA7" s="5">
        <f t="shared" si="1"/>
        <v>29894755.694576472</v>
      </c>
      <c r="AB7" s="130">
        <f t="shared" si="1"/>
        <v>29894755.694576472</v>
      </c>
    </row>
    <row r="8" spans="2:28" x14ac:dyDescent="0.3">
      <c r="B8" s="23" t="s">
        <v>163</v>
      </c>
      <c r="C8" s="5"/>
      <c r="D8" s="5">
        <f>SUM(D6)+D7</f>
        <v>22855011.201273181</v>
      </c>
      <c r="E8" s="5">
        <f t="shared" ref="E8:AB8" si="2">SUM(E6)+E7</f>
        <v>22855011.201273181</v>
      </c>
      <c r="F8" s="5">
        <f t="shared" si="2"/>
        <v>22855011.201273181</v>
      </c>
      <c r="G8" s="5">
        <f t="shared" si="2"/>
        <v>22855011.201273181</v>
      </c>
      <c r="H8" s="5">
        <f t="shared" si="2"/>
        <v>22855011.201273181</v>
      </c>
      <c r="I8" s="5">
        <f t="shared" si="2"/>
        <v>22855011.201273181</v>
      </c>
      <c r="J8" s="5">
        <f t="shared" si="2"/>
        <v>22855011.201273181</v>
      </c>
      <c r="K8" s="5">
        <f t="shared" si="2"/>
        <v>22855011.201273181</v>
      </c>
      <c r="L8" s="5">
        <f t="shared" si="2"/>
        <v>22855011.201273181</v>
      </c>
      <c r="M8" s="5">
        <f t="shared" si="2"/>
        <v>22855011.201273181</v>
      </c>
      <c r="N8" s="5">
        <f t="shared" si="2"/>
        <v>22855011.201273181</v>
      </c>
      <c r="O8" s="5">
        <f t="shared" si="2"/>
        <v>22855011.201273181</v>
      </c>
      <c r="P8" s="5">
        <f t="shared" si="2"/>
        <v>22855011.201273181</v>
      </c>
      <c r="Q8" s="5">
        <f t="shared" si="2"/>
        <v>22855011.201273181</v>
      </c>
      <c r="R8" s="5">
        <f t="shared" si="2"/>
        <v>22855011.201273181</v>
      </c>
      <c r="S8" s="5">
        <f t="shared" si="2"/>
        <v>22855011.201273181</v>
      </c>
      <c r="T8" s="5">
        <f t="shared" si="2"/>
        <v>22855011.201273181</v>
      </c>
      <c r="U8" s="5">
        <f t="shared" si="2"/>
        <v>22855011.201273181</v>
      </c>
      <c r="V8" s="5">
        <f t="shared" si="2"/>
        <v>22855011.201273181</v>
      </c>
      <c r="W8" s="5">
        <f t="shared" si="2"/>
        <v>22855011.201273181</v>
      </c>
      <c r="X8" s="5">
        <f t="shared" si="2"/>
        <v>22855011.201273181</v>
      </c>
      <c r="Y8" s="5">
        <f t="shared" si="2"/>
        <v>22855011.201273181</v>
      </c>
      <c r="Z8" s="5">
        <f t="shared" si="2"/>
        <v>22855011.201273181</v>
      </c>
      <c r="AA8" s="5">
        <f t="shared" si="2"/>
        <v>22855011.201273181</v>
      </c>
      <c r="AB8" s="130">
        <f t="shared" si="2"/>
        <v>22855011.201273181</v>
      </c>
    </row>
    <row r="9" spans="2:28" x14ac:dyDescent="0.3">
      <c r="B9" s="23" t="s">
        <v>116</v>
      </c>
      <c r="C9" s="147">
        <f>'Project finance'!J22</f>
        <v>4.6988292255729827E-2</v>
      </c>
      <c r="AB9" s="24"/>
    </row>
    <row r="10" spans="2:28" x14ac:dyDescent="0.3">
      <c r="B10" s="23" t="s">
        <v>120</v>
      </c>
      <c r="C10" s="5">
        <f t="shared" ref="C10:AB10" si="3">(C8*(1-20%)+C5)/((1+$C$9)^C3)</f>
        <v>-192000000</v>
      </c>
      <c r="D10" s="5">
        <f>(D8*(1-20%)+D5)/((1+$C$9)^D3)</f>
        <v>17463432.109279618</v>
      </c>
      <c r="E10" s="5">
        <f t="shared" si="3"/>
        <v>16679682.321618667</v>
      </c>
      <c r="F10" s="5">
        <f t="shared" si="3"/>
        <v>15931106.818474917</v>
      </c>
      <c r="G10" s="5">
        <f t="shared" si="3"/>
        <v>15216126.996178195</v>
      </c>
      <c r="H10" s="5">
        <f t="shared" si="3"/>
        <v>14533235.09797339</v>
      </c>
      <c r="I10" s="5">
        <f t="shared" si="3"/>
        <v>13880991.034447599</v>
      </c>
      <c r="J10" s="5">
        <f t="shared" si="3"/>
        <v>13258019.34665486</v>
      </c>
      <c r="K10" s="5">
        <f t="shared" si="3"/>
        <v>12663006.305534266</v>
      </c>
      <c r="L10" s="5">
        <f t="shared" si="3"/>
        <v>12094697.141504703</v>
      </c>
      <c r="M10" s="5">
        <f t="shared" si="3"/>
        <v>11551893.398393931</v>
      </c>
      <c r="N10" s="5">
        <f t="shared" si="3"/>
        <v>11033450.406121971</v>
      </c>
      <c r="O10" s="5">
        <f t="shared" si="3"/>
        <v>10538274.86680913</v>
      </c>
      <c r="P10" s="5">
        <f t="shared" si="3"/>
        <v>10065322.549218273</v>
      </c>
      <c r="Q10" s="5">
        <f t="shared" si="3"/>
        <v>9613596.0866693147</v>
      </c>
      <c r="R10" s="5">
        <f t="shared" si="3"/>
        <v>9182142.8737821709</v>
      </c>
      <c r="S10" s="5">
        <f t="shared" si="3"/>
        <v>8770053.0576128028</v>
      </c>
      <c r="T10" s="5">
        <f t="shared" si="3"/>
        <v>8376457.6189460317</v>
      </c>
      <c r="U10" s="5">
        <f t="shared" si="3"/>
        <v>8000526.5396989342</v>
      </c>
      <c r="V10" s="5">
        <f t="shared" si="3"/>
        <v>7641467.0525702331</v>
      </c>
      <c r="W10" s="5">
        <f t="shared" si="3"/>
        <v>7298521.9692445071</v>
      </c>
      <c r="X10" s="5">
        <f t="shared" si="3"/>
        <v>6970968.0836257366</v>
      </c>
      <c r="Y10" s="5">
        <f t="shared" si="3"/>
        <v>6658114.6467328956</v>
      </c>
      <c r="Z10" s="5">
        <f t="shared" si="3"/>
        <v>6359301.9100414468</v>
      </c>
      <c r="AA10" s="5">
        <f t="shared" si="3"/>
        <v>6073899.7341989074</v>
      </c>
      <c r="AB10" s="130">
        <f t="shared" si="3"/>
        <v>5801306.2601805488</v>
      </c>
    </row>
    <row r="11" spans="2:28" x14ac:dyDescent="0.3">
      <c r="B11" s="55" t="s">
        <v>93</v>
      </c>
      <c r="C11" s="11">
        <f>SUM(C10:AB10)</f>
        <v>73655594.225513071</v>
      </c>
      <c r="AB11" s="24"/>
    </row>
    <row r="12" spans="2:28" x14ac:dyDescent="0.3">
      <c r="B12" s="55"/>
      <c r="C12" s="11"/>
      <c r="D12" s="147"/>
      <c r="AB12" s="24"/>
    </row>
    <row r="13" spans="2:28" x14ac:dyDescent="0.3">
      <c r="B13" s="55" t="s">
        <v>149</v>
      </c>
      <c r="C13" s="148">
        <f>-SUM(C14:AB14)/SUM(C15:AB15)</f>
        <v>44.309894348914021</v>
      </c>
      <c r="AB13" s="24"/>
    </row>
    <row r="14" spans="2:28" x14ac:dyDescent="0.3">
      <c r="B14" s="23" t="s">
        <v>151</v>
      </c>
      <c r="C14" s="59">
        <f>SUM(C5:C6)/((1+$C$9)^'Yearly cashflow'!C3)</f>
        <v>-192000000</v>
      </c>
      <c r="D14" s="59">
        <f>SUM(D5:D6)/((1+$C$9)^'Yearly cashflow'!D3)</f>
        <v>-6723804.406767725</v>
      </c>
      <c r="E14" s="59">
        <f>SUM(E5:E6)/((1+$C$9)^'Yearly cashflow'!E3)</f>
        <v>-6422043.5476707472</v>
      </c>
      <c r="F14" s="59">
        <f>SUM(F5:F6)/((1+$C$9)^'Yearly cashflow'!F3)</f>
        <v>-6133825.5596292242</v>
      </c>
      <c r="G14" s="59">
        <f>SUM(G5:G6)/((1+$C$9)^'Yearly cashflow'!G3)</f>
        <v>-5858542.6456048843</v>
      </c>
      <c r="H14" s="59">
        <f>SUM(H5:H6)/((1+$C$9)^'Yearly cashflow'!H3)</f>
        <v>-5595614.2861757223</v>
      </c>
      <c r="I14" s="59">
        <f>SUM(I5:I6)/((1+$C$9)^'Yearly cashflow'!I3)</f>
        <v>-5344486.0153307021</v>
      </c>
      <c r="J14" s="59">
        <f>SUM(J5:J6)/((1+$C$9)^'Yearly cashflow'!J3)</f>
        <v>-5104628.2512061717</v>
      </c>
      <c r="K14" s="59">
        <f>SUM(K5:K6)/((1+$C$9)^'Yearly cashflow'!K3)</f>
        <v>-4875535.1792982146</v>
      </c>
      <c r="L14" s="59">
        <f>SUM(L5:L6)/((1+$C$9)^'Yearly cashflow'!L3)</f>
        <v>-4656723.6857958594</v>
      </c>
      <c r="M14" s="59">
        <f>SUM(M5:M6)/((1+$C$9)^'Yearly cashflow'!M3)</f>
        <v>-4447732.338785734</v>
      </c>
      <c r="N14" s="59">
        <f>SUM(N5:N6)/((1+$C$9)^'Yearly cashflow'!N3)</f>
        <v>-4248120.415179736</v>
      </c>
      <c r="O14" s="59">
        <f>SUM(O5:O6)/((1+$C$9)^'Yearly cashflow'!O3)</f>
        <v>-4057466.9713136777</v>
      </c>
      <c r="P14" s="59">
        <f>SUM(P5:P6)/((1+$C$9)^'Yearly cashflow'!P3)</f>
        <v>-3875369.9552569874</v>
      </c>
      <c r="Q14" s="59">
        <f>SUM(Q5:Q6)/((1+$C$9)^'Yearly cashflow'!Q3)</f>
        <v>-3701445.35896149</v>
      </c>
      <c r="R14" s="59">
        <f>SUM(R5:R6)/((1+$C$9)^'Yearly cashflow'!R3)</f>
        <v>-3535326.4084613104</v>
      </c>
      <c r="S14" s="59">
        <f>SUM(S5:S6)/((1+$C$9)^'Yearly cashflow'!S3)</f>
        <v>-3376662.7904161857</v>
      </c>
      <c r="T14" s="59">
        <f>SUM(T5:T6)/((1+$C$9)^'Yearly cashflow'!T3)</f>
        <v>-3225119.9133671173</v>
      </c>
      <c r="U14" s="59">
        <f>SUM(U5:U6)/((1+$C$9)^'Yearly cashflow'!U3)</f>
        <v>-3080378.2021464789</v>
      </c>
      <c r="V14" s="59">
        <f>SUM(V5:V6)/((1+$C$9)^'Yearly cashflow'!V3)</f>
        <v>-2942132.4239546391</v>
      </c>
      <c r="W14" s="59">
        <f>SUM(W5:W6)/((1+$C$9)^'Yearly cashflow'!W3)</f>
        <v>-2810091.044681916</v>
      </c>
      <c r="X14" s="59">
        <f>SUM(X5:X6)/((1+$C$9)^'Yearly cashflow'!X3)</f>
        <v>-2683975.6141184657</v>
      </c>
      <c r="Y14" s="59">
        <f>SUM(Y5:Y6)/((1+$C$9)^'Yearly cashflow'!Y3)</f>
        <v>-2563520.1787556349</v>
      </c>
      <c r="Z14" s="59">
        <f>SUM(Z5:Z6)/((1+$C$9)^'Yearly cashflow'!Z3)</f>
        <v>-2448470.7209404861</v>
      </c>
      <c r="AA14" s="59">
        <f>SUM(AA5:AA6)/((1+$C$9)^'Yearly cashflow'!AA3)</f>
        <v>-2338584.6232007719</v>
      </c>
      <c r="AB14" s="153">
        <f>SUM(AB5:AB6)/((1+$C$9)^'Yearly cashflow'!AB3)</f>
        <v>-2233630.1566107348</v>
      </c>
    </row>
    <row r="15" spans="2:28" ht="15" thickBot="1" x14ac:dyDescent="0.35">
      <c r="B15" s="25" t="s">
        <v>152</v>
      </c>
      <c r="C15" s="149">
        <v>0</v>
      </c>
      <c r="D15" s="62">
        <f>'Project finance'!$J$6/((1+$C$9)^D3)</f>
        <v>436591.65968451445</v>
      </c>
      <c r="E15" s="62">
        <f>'Project finance'!$J$6/((1+$C$9)^E3)</f>
        <v>416997.6521359951</v>
      </c>
      <c r="F15" s="62">
        <f>'Project finance'!$J$6/((1+$C$9)^F3)</f>
        <v>398283.0134972916</v>
      </c>
      <c r="G15" s="62">
        <f>'Project finance'!$J$6/((1+$C$9)^G3)</f>
        <v>380408.27814721141</v>
      </c>
      <c r="H15" s="62">
        <f>'Project finance'!$J$6/((1+$C$9)^H3)</f>
        <v>363335.75166119967</v>
      </c>
      <c r="I15" s="62">
        <f>'Project finance'!$J$6/((1+$C$9)^I3)</f>
        <v>347029.43132095109</v>
      </c>
      <c r="J15" s="62">
        <f>'Project finance'!$J$6/((1+$C$9)^J3)</f>
        <v>331454.93019150989</v>
      </c>
      <c r="K15" s="62">
        <f>'Project finance'!$J$6/((1+$C$9)^K3)</f>
        <v>316579.40460574994</v>
      </c>
      <c r="L15" s="62">
        <f>'Project finance'!$J$6/((1+$C$9)^L3)</f>
        <v>302371.48490331403</v>
      </c>
      <c r="M15" s="62">
        <f>'Project finance'!$J$6/((1+$C$9)^M3)</f>
        <v>288801.20927795331</v>
      </c>
      <c r="N15" s="62">
        <f>'Project finance'!$J$6/((1+$C$9)^N3)</f>
        <v>275839.9605937645</v>
      </c>
      <c r="O15" s="62">
        <f>'Project finance'!$J$6/((1+$C$9)^O3)</f>
        <v>263460.40603708092</v>
      </c>
      <c r="P15" s="62">
        <f>'Project finance'!$J$6/((1+$C$9)^P3)</f>
        <v>251636.4394767558</v>
      </c>
      <c r="Q15" s="62">
        <f>'Project finance'!$J$6/((1+$C$9)^Q3)</f>
        <v>240343.12641128644</v>
      </c>
      <c r="R15" s="62">
        <f>'Project finance'!$J$6/((1+$C$9)^R3)</f>
        <v>229556.65138668232</v>
      </c>
      <c r="S15" s="62">
        <f>'Project finance'!$J$6/((1+$C$9)^S3)</f>
        <v>219254.2677741925</v>
      </c>
      <c r="T15" s="62">
        <f>'Project finance'!$J$6/((1+$C$9)^T3)</f>
        <v>209414.24980198251</v>
      </c>
      <c r="U15" s="62">
        <f>'Project finance'!$J$6/((1+$C$9)^U3)</f>
        <v>200015.84673960469</v>
      </c>
      <c r="V15" s="62">
        <f>'Project finance'!$J$6/((1+$C$9)^V3)</f>
        <v>191039.23913864573</v>
      </c>
      <c r="W15" s="62">
        <f>'Project finance'!$J$6/((1+$C$9)^W3)</f>
        <v>182465.49703727139</v>
      </c>
      <c r="X15" s="62">
        <f>'Project finance'!$J$6/((1+$C$9)^X3)</f>
        <v>174276.54004052959</v>
      </c>
      <c r="Y15" s="62">
        <f>'Project finance'!$J$6/((1+$C$9)^Y3)</f>
        <v>166455.09919222866</v>
      </c>
      <c r="Z15" s="62">
        <f>'Project finance'!$J$6/((1+$C$9)^Z3)</f>
        <v>158984.68055798614</v>
      </c>
      <c r="AA15" s="62">
        <f>'Project finance'!$J$6/((1+$C$9)^AA3)</f>
        <v>151849.53044265148</v>
      </c>
      <c r="AB15" s="154">
        <f>'Project finance'!$J$6/((1+$C$9)^AB3)</f>
        <v>145034.60216875261</v>
      </c>
    </row>
    <row r="16" spans="2:28" ht="15" thickBot="1" x14ac:dyDescent="0.35"/>
    <row r="17" spans="2:28" x14ac:dyDescent="0.3">
      <c r="B17" s="144" t="s">
        <v>121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6"/>
    </row>
    <row r="18" spans="2:28" x14ac:dyDescent="0.3">
      <c r="B18" s="23" t="s">
        <v>45</v>
      </c>
      <c r="C18" s="59">
        <f>-'Project finance'!E4+'Project finance'!K12</f>
        <v>-191927409.5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153"/>
    </row>
    <row r="19" spans="2:28" x14ac:dyDescent="0.3">
      <c r="B19" s="23" t="s">
        <v>48</v>
      </c>
      <c r="C19" s="59"/>
      <c r="D19" s="59">
        <f>'Project finance'!K16</f>
        <v>-7084750.5848356429</v>
      </c>
      <c r="E19" s="59">
        <f>D19</f>
        <v>-7084750.5848356429</v>
      </c>
      <c r="F19" s="59">
        <f t="shared" ref="F19:AB19" si="4">E19</f>
        <v>-7084750.5848356429</v>
      </c>
      <c r="G19" s="59">
        <f t="shared" si="4"/>
        <v>-7084750.5848356429</v>
      </c>
      <c r="H19" s="59">
        <f t="shared" si="4"/>
        <v>-7084750.5848356429</v>
      </c>
      <c r="I19" s="59">
        <f t="shared" si="4"/>
        <v>-7084750.5848356429</v>
      </c>
      <c r="J19" s="59">
        <f t="shared" si="4"/>
        <v>-7084750.5848356429</v>
      </c>
      <c r="K19" s="59">
        <f t="shared" si="4"/>
        <v>-7084750.5848356429</v>
      </c>
      <c r="L19" s="59">
        <f t="shared" si="4"/>
        <v>-7084750.5848356429</v>
      </c>
      <c r="M19" s="59">
        <f t="shared" si="4"/>
        <v>-7084750.5848356429</v>
      </c>
      <c r="N19" s="59">
        <f t="shared" si="4"/>
        <v>-7084750.5848356429</v>
      </c>
      <c r="O19" s="59">
        <f t="shared" si="4"/>
        <v>-7084750.5848356429</v>
      </c>
      <c r="P19" s="59">
        <f t="shared" si="4"/>
        <v>-7084750.5848356429</v>
      </c>
      <c r="Q19" s="59">
        <f t="shared" si="4"/>
        <v>-7084750.5848356429</v>
      </c>
      <c r="R19" s="59">
        <f t="shared" si="4"/>
        <v>-7084750.5848356429</v>
      </c>
      <c r="S19" s="59">
        <f t="shared" si="4"/>
        <v>-7084750.5848356429</v>
      </c>
      <c r="T19" s="59">
        <f t="shared" si="4"/>
        <v>-7084750.5848356429</v>
      </c>
      <c r="U19" s="59">
        <f t="shared" si="4"/>
        <v>-7084750.5848356429</v>
      </c>
      <c r="V19" s="59">
        <f t="shared" si="4"/>
        <v>-7084750.5848356429</v>
      </c>
      <c r="W19" s="59">
        <f t="shared" si="4"/>
        <v>-7084750.5848356429</v>
      </c>
      <c r="X19" s="59">
        <f t="shared" si="4"/>
        <v>-7084750.5848356429</v>
      </c>
      <c r="Y19" s="59">
        <f t="shared" si="4"/>
        <v>-7084750.5848356429</v>
      </c>
      <c r="Z19" s="59">
        <f t="shared" si="4"/>
        <v>-7084750.5848356429</v>
      </c>
      <c r="AA19" s="59">
        <f t="shared" si="4"/>
        <v>-7084750.5848356429</v>
      </c>
      <c r="AB19" s="153">
        <f t="shared" si="4"/>
        <v>-7084750.5848356429</v>
      </c>
    </row>
    <row r="20" spans="2:28" x14ac:dyDescent="0.3">
      <c r="B20" s="23" t="s">
        <v>94</v>
      </c>
      <c r="D20" s="59">
        <f>'Project finance'!K15</f>
        <v>30315241.178321581</v>
      </c>
      <c r="E20" s="5">
        <f>D20</f>
        <v>30315241.178321581</v>
      </c>
      <c r="F20" s="5">
        <f t="shared" ref="F20:AB20" si="5">E20</f>
        <v>30315241.178321581</v>
      </c>
      <c r="G20" s="5">
        <f t="shared" si="5"/>
        <v>30315241.178321581</v>
      </c>
      <c r="H20" s="5">
        <f t="shared" si="5"/>
        <v>30315241.178321581</v>
      </c>
      <c r="I20" s="5">
        <f t="shared" si="5"/>
        <v>30315241.178321581</v>
      </c>
      <c r="J20" s="5">
        <f t="shared" si="5"/>
        <v>30315241.178321581</v>
      </c>
      <c r="K20" s="5">
        <f t="shared" si="5"/>
        <v>30315241.178321581</v>
      </c>
      <c r="L20" s="5">
        <f t="shared" si="5"/>
        <v>30315241.178321581</v>
      </c>
      <c r="M20" s="5">
        <f t="shared" si="5"/>
        <v>30315241.178321581</v>
      </c>
      <c r="N20" s="5">
        <f t="shared" si="5"/>
        <v>30315241.178321581</v>
      </c>
      <c r="O20" s="5">
        <f t="shared" si="5"/>
        <v>30315241.178321581</v>
      </c>
      <c r="P20" s="5">
        <f t="shared" si="5"/>
        <v>30315241.178321581</v>
      </c>
      <c r="Q20" s="5">
        <f t="shared" si="5"/>
        <v>30315241.178321581</v>
      </c>
      <c r="R20" s="5">
        <f t="shared" si="5"/>
        <v>30315241.178321581</v>
      </c>
      <c r="S20" s="5">
        <f t="shared" si="5"/>
        <v>30315241.178321581</v>
      </c>
      <c r="T20" s="5">
        <f t="shared" si="5"/>
        <v>30315241.178321581</v>
      </c>
      <c r="U20" s="5">
        <f t="shared" si="5"/>
        <v>30315241.178321581</v>
      </c>
      <c r="V20" s="5">
        <f t="shared" si="5"/>
        <v>30315241.178321581</v>
      </c>
      <c r="W20" s="5">
        <f t="shared" si="5"/>
        <v>30315241.178321581</v>
      </c>
      <c r="X20" s="5">
        <f t="shared" si="5"/>
        <v>30315241.178321581</v>
      </c>
      <c r="Y20" s="5">
        <f t="shared" si="5"/>
        <v>30315241.178321581</v>
      </c>
      <c r="Z20" s="5">
        <f t="shared" si="5"/>
        <v>30315241.178321581</v>
      </c>
      <c r="AA20" s="5">
        <f t="shared" si="5"/>
        <v>30315241.178321581</v>
      </c>
      <c r="AB20" s="130">
        <f t="shared" si="5"/>
        <v>30315241.178321581</v>
      </c>
    </row>
    <row r="21" spans="2:28" x14ac:dyDescent="0.3">
      <c r="B21" s="23" t="s">
        <v>163</v>
      </c>
      <c r="C21" s="5"/>
      <c r="D21" s="5">
        <f>SUM(D18:D19)+D20</f>
        <v>23230490.593485937</v>
      </c>
      <c r="E21" s="5">
        <f t="shared" ref="E21:AB21" si="6">SUM(E18:E19)+E20</f>
        <v>23230490.593485937</v>
      </c>
      <c r="F21" s="5">
        <f t="shared" si="6"/>
        <v>23230490.593485937</v>
      </c>
      <c r="G21" s="5">
        <f t="shared" si="6"/>
        <v>23230490.593485937</v>
      </c>
      <c r="H21" s="5">
        <f t="shared" si="6"/>
        <v>23230490.593485937</v>
      </c>
      <c r="I21" s="5">
        <f t="shared" si="6"/>
        <v>23230490.593485937</v>
      </c>
      <c r="J21" s="5">
        <f t="shared" si="6"/>
        <v>23230490.593485937</v>
      </c>
      <c r="K21" s="5">
        <f t="shared" si="6"/>
        <v>23230490.593485937</v>
      </c>
      <c r="L21" s="5">
        <f t="shared" si="6"/>
        <v>23230490.593485937</v>
      </c>
      <c r="M21" s="5">
        <f t="shared" si="6"/>
        <v>23230490.593485937</v>
      </c>
      <c r="N21" s="5">
        <f t="shared" si="6"/>
        <v>23230490.593485937</v>
      </c>
      <c r="O21" s="5">
        <f t="shared" si="6"/>
        <v>23230490.593485937</v>
      </c>
      <c r="P21" s="5">
        <f t="shared" si="6"/>
        <v>23230490.593485937</v>
      </c>
      <c r="Q21" s="5">
        <f t="shared" si="6"/>
        <v>23230490.593485937</v>
      </c>
      <c r="R21" s="5">
        <f t="shared" si="6"/>
        <v>23230490.593485937</v>
      </c>
      <c r="S21" s="5">
        <f t="shared" si="6"/>
        <v>23230490.593485937</v>
      </c>
      <c r="T21" s="5">
        <f t="shared" si="6"/>
        <v>23230490.593485937</v>
      </c>
      <c r="U21" s="5">
        <f t="shared" si="6"/>
        <v>23230490.593485937</v>
      </c>
      <c r="V21" s="5">
        <f t="shared" si="6"/>
        <v>23230490.593485937</v>
      </c>
      <c r="W21" s="5">
        <f t="shared" si="6"/>
        <v>23230490.593485937</v>
      </c>
      <c r="X21" s="5">
        <f t="shared" si="6"/>
        <v>23230490.593485937</v>
      </c>
      <c r="Y21" s="5">
        <f t="shared" si="6"/>
        <v>23230490.593485937</v>
      </c>
      <c r="Z21" s="5">
        <f t="shared" si="6"/>
        <v>23230490.593485937</v>
      </c>
      <c r="AA21" s="5">
        <f t="shared" si="6"/>
        <v>23230490.593485937</v>
      </c>
      <c r="AB21" s="130">
        <f t="shared" si="6"/>
        <v>23230490.593485937</v>
      </c>
    </row>
    <row r="22" spans="2:28" x14ac:dyDescent="0.3">
      <c r="B22" s="23" t="s">
        <v>116</v>
      </c>
      <c r="C22" s="66">
        <f>'Project finance'!K22</f>
        <v>4.658377324785766E-2</v>
      </c>
      <c r="AB22" s="24"/>
    </row>
    <row r="23" spans="2:28" x14ac:dyDescent="0.3">
      <c r="B23" s="23" t="s">
        <v>120</v>
      </c>
      <c r="C23" s="5">
        <f t="shared" ref="C23:AB23" si="7">(C21*(1-20%)+C18)/((1+$C$22)^C3)</f>
        <v>-191927409.5</v>
      </c>
      <c r="D23" s="5">
        <f>(D21*(1-20%)+D18)/((1+$C$22)^D3)</f>
        <v>17757195.314729474</v>
      </c>
      <c r="E23" s="5">
        <f t="shared" si="7"/>
        <v>16966816.960694578</v>
      </c>
      <c r="F23" s="5">
        <f t="shared" si="7"/>
        <v>16211618.596036082</v>
      </c>
      <c r="G23" s="5">
        <f t="shared" si="7"/>
        <v>15490034.348350976</v>
      </c>
      <c r="H23" s="5">
        <f t="shared" si="7"/>
        <v>14800568.042709891</v>
      </c>
      <c r="I23" s="5">
        <f t="shared" si="7"/>
        <v>14141790.099400615</v>
      </c>
      <c r="J23" s="5">
        <f t="shared" si="7"/>
        <v>13512334.569754008</v>
      </c>
      <c r="K23" s="5">
        <f t="shared" si="7"/>
        <v>12910896.30390624</v>
      </c>
      <c r="L23" s="5">
        <f t="shared" si="7"/>
        <v>12336228.244624821</v>
      </c>
      <c r="M23" s="5">
        <f t="shared" si="7"/>
        <v>11787138.841587303</v>
      </c>
      <c r="N23" s="5">
        <f t="shared" si="7"/>
        <v>11262489.580751233</v>
      </c>
      <c r="O23" s="5">
        <f t="shared" si="7"/>
        <v>10761192.623692617</v>
      </c>
      <c r="P23" s="5">
        <f t="shared" si="7"/>
        <v>10282208.55201822</v>
      </c>
      <c r="Q23" s="5">
        <f t="shared" si="7"/>
        <v>9824544.2121747211</v>
      </c>
      <c r="R23" s="5">
        <f t="shared" si="7"/>
        <v>9387250.6561861429</v>
      </c>
      <c r="S23" s="5">
        <f t="shared" si="7"/>
        <v>8969421.1740496811</v>
      </c>
      <c r="T23" s="5">
        <f t="shared" si="7"/>
        <v>8570189.4137102142</v>
      </c>
      <c r="U23" s="5">
        <f t="shared" si="7"/>
        <v>8188727.5847153598</v>
      </c>
      <c r="V23" s="5">
        <f t="shared" si="7"/>
        <v>7824244.7418263787</v>
      </c>
      <c r="W23" s="5">
        <f t="shared" si="7"/>
        <v>7475985.1450261297</v>
      </c>
      <c r="X23" s="5">
        <f t="shared" si="7"/>
        <v>7143226.6925235679</v>
      </c>
      <c r="Y23" s="5">
        <f t="shared" si="7"/>
        <v>6825279.4235057104</v>
      </c>
      <c r="Z23" s="5">
        <f t="shared" si="7"/>
        <v>6521484.0875325818</v>
      </c>
      <c r="AA23" s="5">
        <f t="shared" si="7"/>
        <v>6231210.7776088463</v>
      </c>
      <c r="AB23" s="130">
        <f t="shared" si="7"/>
        <v>5953857.6240978437</v>
      </c>
    </row>
    <row r="24" spans="2:28" x14ac:dyDescent="0.3">
      <c r="B24" s="55" t="s">
        <v>93</v>
      </c>
      <c r="C24" s="11">
        <f>SUM(C23:AB23)</f>
        <v>79208524.111213207</v>
      </c>
      <c r="AB24" s="24"/>
    </row>
    <row r="25" spans="2:28" x14ac:dyDescent="0.3">
      <c r="B25" s="55"/>
      <c r="C25" s="152"/>
      <c r="AB25" s="24"/>
    </row>
    <row r="26" spans="2:28" x14ac:dyDescent="0.3">
      <c r="B26" s="55" t="s">
        <v>149</v>
      </c>
      <c r="C26" s="148">
        <f>-SUM(C27:AB27)/SUM(C28:AB28)</f>
        <v>43.664321117955232</v>
      </c>
      <c r="AB26" s="24"/>
    </row>
    <row r="27" spans="2:28" x14ac:dyDescent="0.3">
      <c r="B27" s="23" t="s">
        <v>151</v>
      </c>
      <c r="C27" s="129">
        <f t="shared" ref="C27:AB27" si="8">SUM(C18:C19)/((1+$C$22)^C3)</f>
        <v>-191927409.5</v>
      </c>
      <c r="D27" s="129">
        <f t="shared" si="8"/>
        <v>-6769406.1057812655</v>
      </c>
      <c r="E27" s="129">
        <f t="shared" si="8"/>
        <v>-6468097.7087708963</v>
      </c>
      <c r="F27" s="129">
        <f t="shared" si="8"/>
        <v>-6180200.643373712</v>
      </c>
      <c r="G27" s="129">
        <f t="shared" si="8"/>
        <v>-5905117.9669972621</v>
      </c>
      <c r="H27" s="129">
        <f t="shared" si="8"/>
        <v>-5642279.3071518233</v>
      </c>
      <c r="I27" s="129">
        <f t="shared" si="8"/>
        <v>-5391139.6788067613</v>
      </c>
      <c r="J27" s="129">
        <f t="shared" si="8"/>
        <v>-5151178.3543867376</v>
      </c>
      <c r="K27" s="129">
        <f t="shared" si="8"/>
        <v>-4921897.7840647344</v>
      </c>
      <c r="L27" s="129">
        <f t="shared" si="8"/>
        <v>-4702822.5641131774</v>
      </c>
      <c r="M27" s="129">
        <f t="shared" si="8"/>
        <v>-4493498.451174085</v>
      </c>
      <c r="N27" s="129">
        <f t="shared" si="8"/>
        <v>-4293491.4204043476</v>
      </c>
      <c r="O27" s="129">
        <f t="shared" si="8"/>
        <v>-4102386.7655432681</v>
      </c>
      <c r="P27" s="129">
        <f t="shared" si="8"/>
        <v>-3919788.2390363785</v>
      </c>
      <c r="Q27" s="129">
        <f t="shared" si="8"/>
        <v>-3745317.2304326124</v>
      </c>
      <c r="R27" s="129">
        <f t="shared" si="8"/>
        <v>-3578611.9813512783</v>
      </c>
      <c r="S27" s="129">
        <f t="shared" si="8"/>
        <v>-3419326.8353911047</v>
      </c>
      <c r="T27" s="129">
        <f t="shared" si="8"/>
        <v>-3267131.5214260644</v>
      </c>
      <c r="U27" s="129">
        <f t="shared" si="8"/>
        <v>-3121710.4688019329</v>
      </c>
      <c r="V27" s="129">
        <f t="shared" si="8"/>
        <v>-2982762.1530136536</v>
      </c>
      <c r="W27" s="129">
        <f t="shared" si="8"/>
        <v>-2849998.4705068227</v>
      </c>
      <c r="X27" s="129">
        <f t="shared" si="8"/>
        <v>-2723144.1413069479</v>
      </c>
      <c r="Y27" s="129">
        <f t="shared" si="8"/>
        <v>-2601936.1382378694</v>
      </c>
      <c r="Z27" s="129">
        <f t="shared" si="8"/>
        <v>-2486123.1415458461</v>
      </c>
      <c r="AA27" s="129">
        <f t="shared" si="8"/>
        <v>-2375465.0177985034</v>
      </c>
      <c r="AB27" s="98">
        <f t="shared" si="8"/>
        <v>-2269732.3219781402</v>
      </c>
    </row>
    <row r="28" spans="2:28" ht="15" thickBot="1" x14ac:dyDescent="0.35">
      <c r="B28" s="25" t="s">
        <v>152</v>
      </c>
      <c r="C28" s="149">
        <v>0</v>
      </c>
      <c r="D28" s="131">
        <f>'Project finance'!$K$6/((1+$C$22)^D3)</f>
        <v>442903.67353506282</v>
      </c>
      <c r="E28" s="131">
        <f>'Project finance'!$K$6/((1+$C$22)^E3)</f>
        <v>423189.8915846959</v>
      </c>
      <c r="F28" s="131">
        <f>'Project finance'!$K$6/((1+$C$22)^F3)</f>
        <v>404353.576275517</v>
      </c>
      <c r="G28" s="131">
        <f>'Project finance'!$K$6/((1+$C$22)^G3)</f>
        <v>386355.67129107</v>
      </c>
      <c r="H28" s="131">
        <f>'Project finance'!$K$6/((1+$C$22)^H3)</f>
        <v>369158.85872384073</v>
      </c>
      <c r="I28" s="131">
        <f>'Project finance'!$K$6/((1+$C$22)^I3)</f>
        <v>352727.48169812735</v>
      </c>
      <c r="J28" s="131">
        <f>'Project finance'!$K$6/((1+$C$22)^J3)</f>
        <v>337027.47043699154</v>
      </c>
      <c r="K28" s="131">
        <f>'Project finance'!$K$6/((1+$C$22)^K3)</f>
        <v>322026.27161999285</v>
      </c>
      <c r="L28" s="131">
        <f>'Project finance'!$K$6/((1+$C$22)^L3)</f>
        <v>307692.78088523244</v>
      </c>
      <c r="M28" s="131">
        <f>'Project finance'!$K$6/((1+$C$22)^M3)</f>
        <v>293997.27833575249</v>
      </c>
      <c r="N28" s="131">
        <f>'Project finance'!$K$6/((1+$C$22)^N3)</f>
        <v>280911.36691656552</v>
      </c>
      <c r="O28" s="131">
        <f>'Project finance'!$K$6/((1+$C$22)^O3)</f>
        <v>268407.91353454185</v>
      </c>
      <c r="P28" s="131">
        <f>'Project finance'!$K$6/((1+$C$22)^P3)</f>
        <v>256460.99279906959</v>
      </c>
      <c r="Q28" s="131">
        <f>'Project finance'!$K$6/((1+$C$22)^Q3)</f>
        <v>245045.83326683505</v>
      </c>
      <c r="R28" s="131">
        <f>'Project finance'!$K$6/((1+$C$22)^R3)</f>
        <v>234138.76607926539</v>
      </c>
      <c r="S28" s="131">
        <f>'Project finance'!$K$6/((1+$C$22)^S3)</f>
        <v>223717.17588613462</v>
      </c>
      <c r="T28" s="131">
        <f>'Project finance'!$K$6/((1+$C$22)^T3)</f>
        <v>213759.4539535754</v>
      </c>
      <c r="U28" s="131">
        <f>'Project finance'!$K$6/((1+$C$22)^U3)</f>
        <v>204244.95335926805</v>
      </c>
      <c r="V28" s="131">
        <f>'Project finance'!$K$6/((1+$C$22)^V3)</f>
        <v>195153.9461819056</v>
      </c>
      <c r="W28" s="131">
        <f>'Project finance'!$K$6/((1+$C$22)^W3)</f>
        <v>186467.58259616946</v>
      </c>
      <c r="X28" s="131">
        <f>'Project finance'!$K$6/((1+$C$22)^X3)</f>
        <v>178167.8517884007</v>
      </c>
      <c r="Y28" s="131">
        <f>'Project finance'!$K$6/((1+$C$22)^Y3)</f>
        <v>170237.54461192671</v>
      </c>
      <c r="Z28" s="131">
        <f>'Project finance'!$K$6/((1+$C$22)^Z3)</f>
        <v>162660.2179046112</v>
      </c>
      <c r="AA28" s="131">
        <f>'Project finance'!$K$6/((1+$C$22)^AA3)</f>
        <v>155420.1603946416</v>
      </c>
      <c r="AB28" s="150">
        <f>'Project finance'!$K$6/((1+$C$22)^AB3)</f>
        <v>148502.36012386001</v>
      </c>
    </row>
    <row r="29" spans="2:28" ht="15" thickBot="1" x14ac:dyDescent="0.35"/>
    <row r="30" spans="2:28" x14ac:dyDescent="0.3">
      <c r="B30" s="144" t="s">
        <v>122</v>
      </c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6"/>
    </row>
    <row r="31" spans="2:28" x14ac:dyDescent="0.3">
      <c r="B31" s="23" t="s">
        <v>45</v>
      </c>
      <c r="C31" s="129">
        <f>-'Project finance'!E4+'Project finance'!L12</f>
        <v>-191948757</v>
      </c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98"/>
    </row>
    <row r="32" spans="2:28" x14ac:dyDescent="0.3">
      <c r="B32" s="23" t="s">
        <v>48</v>
      </c>
      <c r="C32" s="129"/>
      <c r="D32" s="129">
        <f>'Project finance'!L16</f>
        <v>-7116986.0289353924</v>
      </c>
      <c r="E32" s="129">
        <f>D32</f>
        <v>-7116986.0289353924</v>
      </c>
      <c r="F32" s="129">
        <f t="shared" ref="F32:AB32" si="9">E32</f>
        <v>-7116986.0289353924</v>
      </c>
      <c r="G32" s="129">
        <f t="shared" si="9"/>
        <v>-7116986.0289353924</v>
      </c>
      <c r="H32" s="129">
        <f t="shared" si="9"/>
        <v>-7116986.0289353924</v>
      </c>
      <c r="I32" s="129">
        <f t="shared" si="9"/>
        <v>-7116986.0289353924</v>
      </c>
      <c r="J32" s="129">
        <f t="shared" si="9"/>
        <v>-7116986.0289353924</v>
      </c>
      <c r="K32" s="129">
        <f t="shared" si="9"/>
        <v>-7116986.0289353924</v>
      </c>
      <c r="L32" s="129">
        <f t="shared" si="9"/>
        <v>-7116986.0289353924</v>
      </c>
      <c r="M32" s="129">
        <f t="shared" si="9"/>
        <v>-7116986.0289353924</v>
      </c>
      <c r="N32" s="129">
        <f t="shared" si="9"/>
        <v>-7116986.0289353924</v>
      </c>
      <c r="O32" s="129">
        <f t="shared" si="9"/>
        <v>-7116986.0289353924</v>
      </c>
      <c r="P32" s="129">
        <f t="shared" si="9"/>
        <v>-7116986.0289353924</v>
      </c>
      <c r="Q32" s="129">
        <f t="shared" si="9"/>
        <v>-7116986.0289353924</v>
      </c>
      <c r="R32" s="129">
        <f t="shared" si="9"/>
        <v>-7116986.0289353924</v>
      </c>
      <c r="S32" s="129">
        <f t="shared" si="9"/>
        <v>-7116986.0289353924</v>
      </c>
      <c r="T32" s="129">
        <f t="shared" si="9"/>
        <v>-7116986.0289353924</v>
      </c>
      <c r="U32" s="129">
        <f t="shared" si="9"/>
        <v>-7116986.0289353924</v>
      </c>
      <c r="V32" s="129">
        <f t="shared" si="9"/>
        <v>-7116986.0289353924</v>
      </c>
      <c r="W32" s="129">
        <f t="shared" si="9"/>
        <v>-7116986.0289353924</v>
      </c>
      <c r="X32" s="129">
        <f t="shared" si="9"/>
        <v>-7116986.0289353924</v>
      </c>
      <c r="Y32" s="129">
        <f t="shared" si="9"/>
        <v>-7116986.0289353924</v>
      </c>
      <c r="Z32" s="129">
        <f t="shared" si="9"/>
        <v>-7116986.0289353924</v>
      </c>
      <c r="AA32" s="129">
        <f t="shared" si="9"/>
        <v>-7116986.0289353924</v>
      </c>
      <c r="AB32" s="98">
        <f t="shared" si="9"/>
        <v>-7116986.0289353924</v>
      </c>
    </row>
    <row r="33" spans="2:28" x14ac:dyDescent="0.3">
      <c r="B33" s="23" t="s">
        <v>94</v>
      </c>
      <c r="D33" s="129">
        <f>'Project finance'!L15</f>
        <v>30616412.327482097</v>
      </c>
      <c r="E33" s="5">
        <f>D33</f>
        <v>30616412.327482097</v>
      </c>
      <c r="F33" s="5">
        <f t="shared" ref="F33:AB33" si="10">E33</f>
        <v>30616412.327482097</v>
      </c>
      <c r="G33" s="5">
        <f t="shared" si="10"/>
        <v>30616412.327482097</v>
      </c>
      <c r="H33" s="5">
        <f t="shared" si="10"/>
        <v>30616412.327482097</v>
      </c>
      <c r="I33" s="5">
        <f t="shared" si="10"/>
        <v>30616412.327482097</v>
      </c>
      <c r="J33" s="5">
        <f t="shared" si="10"/>
        <v>30616412.327482097</v>
      </c>
      <c r="K33" s="5">
        <f t="shared" si="10"/>
        <v>30616412.327482097</v>
      </c>
      <c r="L33" s="5">
        <f t="shared" si="10"/>
        <v>30616412.327482097</v>
      </c>
      <c r="M33" s="5">
        <f t="shared" si="10"/>
        <v>30616412.327482097</v>
      </c>
      <c r="N33" s="5">
        <f t="shared" si="10"/>
        <v>30616412.327482097</v>
      </c>
      <c r="O33" s="5">
        <f t="shared" si="10"/>
        <v>30616412.327482097</v>
      </c>
      <c r="P33" s="5">
        <f t="shared" si="10"/>
        <v>30616412.327482097</v>
      </c>
      <c r="Q33" s="5">
        <f t="shared" si="10"/>
        <v>30616412.327482097</v>
      </c>
      <c r="R33" s="5">
        <f t="shared" si="10"/>
        <v>30616412.327482097</v>
      </c>
      <c r="S33" s="5">
        <f t="shared" si="10"/>
        <v>30616412.327482097</v>
      </c>
      <c r="T33" s="5">
        <f t="shared" si="10"/>
        <v>30616412.327482097</v>
      </c>
      <c r="U33" s="5">
        <f t="shared" si="10"/>
        <v>30616412.327482097</v>
      </c>
      <c r="V33" s="5">
        <f t="shared" si="10"/>
        <v>30616412.327482097</v>
      </c>
      <c r="W33" s="5">
        <f t="shared" si="10"/>
        <v>30616412.327482097</v>
      </c>
      <c r="X33" s="5">
        <f t="shared" si="10"/>
        <v>30616412.327482097</v>
      </c>
      <c r="Y33" s="5">
        <f t="shared" si="10"/>
        <v>30616412.327482097</v>
      </c>
      <c r="Z33" s="5">
        <f t="shared" si="10"/>
        <v>30616412.327482097</v>
      </c>
      <c r="AA33" s="5">
        <f t="shared" si="10"/>
        <v>30616412.327482097</v>
      </c>
      <c r="AB33" s="130">
        <f t="shared" si="10"/>
        <v>30616412.327482097</v>
      </c>
    </row>
    <row r="34" spans="2:28" x14ac:dyDescent="0.3">
      <c r="B34" s="23" t="s">
        <v>163</v>
      </c>
      <c r="C34" s="5"/>
      <c r="D34" s="5">
        <f>SUM(D31:D32)+D33</f>
        <v>23499426.298546705</v>
      </c>
      <c r="E34" s="5">
        <f t="shared" ref="E34:AB34" si="11">SUM(E31:E32)+E33</f>
        <v>23499426.298546705</v>
      </c>
      <c r="F34" s="5">
        <f t="shared" si="11"/>
        <v>23499426.298546705</v>
      </c>
      <c r="G34" s="5">
        <f t="shared" si="11"/>
        <v>23499426.298546705</v>
      </c>
      <c r="H34" s="5">
        <f t="shared" si="11"/>
        <v>23499426.298546705</v>
      </c>
      <c r="I34" s="5">
        <f t="shared" si="11"/>
        <v>23499426.298546705</v>
      </c>
      <c r="J34" s="5">
        <f t="shared" si="11"/>
        <v>23499426.298546705</v>
      </c>
      <c r="K34" s="5">
        <f t="shared" si="11"/>
        <v>23499426.298546705</v>
      </c>
      <c r="L34" s="5">
        <f t="shared" si="11"/>
        <v>23499426.298546705</v>
      </c>
      <c r="M34" s="5">
        <f t="shared" si="11"/>
        <v>23499426.298546705</v>
      </c>
      <c r="N34" s="5">
        <f t="shared" si="11"/>
        <v>23499426.298546705</v>
      </c>
      <c r="O34" s="5">
        <f t="shared" si="11"/>
        <v>23499426.298546705</v>
      </c>
      <c r="P34" s="5">
        <f t="shared" si="11"/>
        <v>23499426.298546705</v>
      </c>
      <c r="Q34" s="5">
        <f t="shared" si="11"/>
        <v>23499426.298546705</v>
      </c>
      <c r="R34" s="5">
        <f t="shared" si="11"/>
        <v>23499426.298546705</v>
      </c>
      <c r="S34" s="5">
        <f t="shared" si="11"/>
        <v>23499426.298546705</v>
      </c>
      <c r="T34" s="5">
        <f t="shared" si="11"/>
        <v>23499426.298546705</v>
      </c>
      <c r="U34" s="5">
        <f t="shared" si="11"/>
        <v>23499426.298546705</v>
      </c>
      <c r="V34" s="5">
        <f t="shared" si="11"/>
        <v>23499426.298546705</v>
      </c>
      <c r="W34" s="5">
        <f t="shared" si="11"/>
        <v>23499426.298546705</v>
      </c>
      <c r="X34" s="5">
        <f t="shared" si="11"/>
        <v>23499426.298546705</v>
      </c>
      <c r="Y34" s="5">
        <f t="shared" si="11"/>
        <v>23499426.298546705</v>
      </c>
      <c r="Z34" s="5">
        <f t="shared" si="11"/>
        <v>23499426.298546705</v>
      </c>
      <c r="AA34" s="5">
        <f t="shared" si="11"/>
        <v>23499426.298546705</v>
      </c>
      <c r="AB34" s="130">
        <f t="shared" si="11"/>
        <v>23499426.298546705</v>
      </c>
    </row>
    <row r="35" spans="2:28" x14ac:dyDescent="0.3">
      <c r="B35" s="23" t="s">
        <v>116</v>
      </c>
      <c r="C35" s="151">
        <f>'Project finance'!L22</f>
        <v>4.6320776631879411E-2</v>
      </c>
      <c r="AB35" s="24"/>
    </row>
    <row r="36" spans="2:28" x14ac:dyDescent="0.3">
      <c r="B36" s="23" t="s">
        <v>120</v>
      </c>
      <c r="C36" s="5">
        <f>(C34*(1-20%)+C31)/((1+$C$35)^C3)</f>
        <v>-191948757</v>
      </c>
      <c r="D36" s="5">
        <f>(D34*(1-20%)+D31)/((1+$C$35)^D3)</f>
        <v>17967282.556840111</v>
      </c>
      <c r="E36" s="5">
        <f t="shared" ref="E36:AB36" si="12">(E34*(1-20%)+E31)/((1+$C$35)^E3)</f>
        <v>17171868.281806499</v>
      </c>
      <c r="F36" s="5">
        <f t="shared" si="12"/>
        <v>16411667.115206268</v>
      </c>
      <c r="G36" s="5">
        <f t="shared" si="12"/>
        <v>15685120.167484052</v>
      </c>
      <c r="H36" s="5">
        <f t="shared" si="12"/>
        <v>14990737.561357297</v>
      </c>
      <c r="I36" s="5">
        <f t="shared" si="12"/>
        <v>14327095.376632662</v>
      </c>
      <c r="J36" s="5">
        <f t="shared" si="12"/>
        <v>13692832.730275866</v>
      </c>
      <c r="K36" s="5">
        <f t="shared" si="12"/>
        <v>13086648.985747257</v>
      </c>
      <c r="L36" s="5">
        <f t="shared" si="12"/>
        <v>12507301.085880524</v>
      </c>
      <c r="M36" s="5">
        <f t="shared" si="12"/>
        <v>11953601.003835261</v>
      </c>
      <c r="N36" s="5">
        <f t="shared" si="12"/>
        <v>11424413.306896247</v>
      </c>
      <c r="O36" s="5">
        <f t="shared" si="12"/>
        <v>10918652.828123694</v>
      </c>
      <c r="P36" s="5">
        <f t="shared" si="12"/>
        <v>10435282.441079859</v>
      </c>
      <c r="Q36" s="5">
        <f t="shared" si="12"/>
        <v>9973310.9330688938</v>
      </c>
      <c r="R36" s="5">
        <f t="shared" si="12"/>
        <v>9531790.9725286309</v>
      </c>
      <c r="S36" s="5">
        <f t="shared" si="12"/>
        <v>9109817.1664062664</v>
      </c>
      <c r="T36" s="5">
        <f t="shared" si="12"/>
        <v>8706524.2035343032</v>
      </c>
      <c r="U36" s="5">
        <f t="shared" si="12"/>
        <v>8321085.0801995173</v>
      </c>
      <c r="V36" s="5">
        <f t="shared" si="12"/>
        <v>7952709.4042662531</v>
      </c>
      <c r="W36" s="5">
        <f t="shared" si="12"/>
        <v>7600641.7743764305</v>
      </c>
      <c r="X36" s="5">
        <f t="shared" si="12"/>
        <v>7264160.2309026094</v>
      </c>
      <c r="Y36" s="5">
        <f t="shared" si="12"/>
        <v>6942574.7754775919</v>
      </c>
      <c r="Z36" s="5">
        <f t="shared" si="12"/>
        <v>6635225.9560646713</v>
      </c>
      <c r="AA36" s="5">
        <f t="shared" si="12"/>
        <v>6341483.5146670351</v>
      </c>
      <c r="AB36" s="130">
        <f t="shared" si="12"/>
        <v>6060745.0949032614</v>
      </c>
    </row>
    <row r="37" spans="2:28" x14ac:dyDescent="0.3">
      <c r="B37" s="55" t="s">
        <v>93</v>
      </c>
      <c r="C37" s="11">
        <f>SUM(C36:AB36)</f>
        <v>83063815.547561079</v>
      </c>
      <c r="AB37" s="24"/>
    </row>
    <row r="38" spans="2:28" x14ac:dyDescent="0.3">
      <c r="B38" s="55"/>
      <c r="C38" s="152"/>
      <c r="AB38" s="24"/>
    </row>
    <row r="39" spans="2:28" x14ac:dyDescent="0.3">
      <c r="B39" s="55" t="s">
        <v>149</v>
      </c>
      <c r="C39" s="148">
        <f>-SUM(C40:AB40)/SUM(C41:AB41)</f>
        <v>43.231391415721454</v>
      </c>
      <c r="AB39" s="24"/>
    </row>
    <row r="40" spans="2:28" x14ac:dyDescent="0.3">
      <c r="B40" s="23" t="s">
        <v>151</v>
      </c>
      <c r="C40" s="129">
        <f t="shared" ref="C40:AB40" si="13">SUM(C31:C32)/((1+$C$35)^C3)</f>
        <v>-191948757</v>
      </c>
      <c r="D40" s="129">
        <f t="shared" si="13"/>
        <v>-6801915.9973531887</v>
      </c>
      <c r="E40" s="129">
        <f t="shared" si="13"/>
        <v>-6500794.1629990824</v>
      </c>
      <c r="F40" s="129">
        <f t="shared" si="13"/>
        <v>-6213003.0371041903</v>
      </c>
      <c r="G40" s="129">
        <f t="shared" si="13"/>
        <v>-5937952.4672194039</v>
      </c>
      <c r="H40" s="129">
        <f t="shared" si="13"/>
        <v>-5675078.4270324362</v>
      </c>
      <c r="I40" s="129">
        <f t="shared" si="13"/>
        <v>-5423841.8597598625</v>
      </c>
      <c r="J40" s="129">
        <f t="shared" si="13"/>
        <v>-5183727.5727423495</v>
      </c>
      <c r="K40" s="129">
        <f t="shared" si="13"/>
        <v>-4954243.1809763331</v>
      </c>
      <c r="L40" s="129">
        <f t="shared" si="13"/>
        <v>-4734918.0974156978</v>
      </c>
      <c r="M40" s="129">
        <f t="shared" si="13"/>
        <v>-4525302.5679729516</v>
      </c>
      <c r="N40" s="129">
        <f t="shared" si="13"/>
        <v>-4324966.7492410513</v>
      </c>
      <c r="O40" s="129">
        <f t="shared" si="13"/>
        <v>-4133499.8270446067</v>
      </c>
      <c r="P40" s="129">
        <f t="shared" si="13"/>
        <v>-3950509.1740129613</v>
      </c>
      <c r="Q40" s="129">
        <f t="shared" si="13"/>
        <v>-3775619.5444476441</v>
      </c>
      <c r="R40" s="129">
        <f t="shared" si="13"/>
        <v>-3608472.3048331449</v>
      </c>
      <c r="S40" s="129">
        <f t="shared" si="13"/>
        <v>-3448724.6984131061</v>
      </c>
      <c r="T40" s="129">
        <f t="shared" si="13"/>
        <v>-3296049.1423238269</v>
      </c>
      <c r="U40" s="129">
        <f t="shared" si="13"/>
        <v>-3150132.5558437756</v>
      </c>
      <c r="V40" s="129">
        <f t="shared" si="13"/>
        <v>-3010675.7183815986</v>
      </c>
      <c r="W40" s="129">
        <f t="shared" si="13"/>
        <v>-2877392.655886089</v>
      </c>
      <c r="X40" s="129">
        <f t="shared" si="13"/>
        <v>-2750010.0544198831</v>
      </c>
      <c r="Y40" s="129">
        <f t="shared" si="13"/>
        <v>-2628266.699694335</v>
      </c>
      <c r="Z40" s="129">
        <f t="shared" si="13"/>
        <v>-2511912.9414162645</v>
      </c>
      <c r="AA40" s="129">
        <f t="shared" si="13"/>
        <v>-2400710.181348158</v>
      </c>
      <c r="AB40" s="98">
        <f t="shared" si="13"/>
        <v>-2294430.3840320138</v>
      </c>
    </row>
    <row r="41" spans="2:28" ht="15" thickBot="1" x14ac:dyDescent="0.35">
      <c r="B41" s="25" t="s">
        <v>152</v>
      </c>
      <c r="C41" s="149">
        <v>0</v>
      </c>
      <c r="D41" s="131">
        <f>'Project finance'!$L$6/((1+$C$35)^D3)</f>
        <v>447416.19561778783</v>
      </c>
      <c r="E41" s="131">
        <f>'Project finance'!$L$6/((1+$C$35)^E3)</f>
        <v>427609.01399475842</v>
      </c>
      <c r="F41" s="131">
        <f>'Project finance'!$L$6/((1+$C$35)^F3)</f>
        <v>408678.69925247738</v>
      </c>
      <c r="G41" s="131">
        <f>'Project finance'!$L$6/((1+$C$35)^G3)</f>
        <v>390586.43236352393</v>
      </c>
      <c r="H41" s="131">
        <f>'Project finance'!$L$6/((1+$C$35)^H3)</f>
        <v>373295.11282460327</v>
      </c>
      <c r="I41" s="131">
        <f>'Project finance'!$L$6/((1+$C$35)^I3)</f>
        <v>356769.28257722763</v>
      </c>
      <c r="J41" s="131">
        <f>'Project finance'!$L$6/((1+$C$35)^J3)</f>
        <v>340975.05329644005</v>
      </c>
      <c r="K41" s="131">
        <f>'Project finance'!$L$6/((1+$C$35)^K3)</f>
        <v>325880.03689847706</v>
      </c>
      <c r="L41" s="131">
        <f>'Project finance'!$L$6/((1+$C$35)^L3)</f>
        <v>311453.27912486769</v>
      </c>
      <c r="M41" s="131">
        <f>'Project finance'!$L$6/((1+$C$35)^M3)</f>
        <v>297665.19606677408</v>
      </c>
      <c r="N41" s="131">
        <f>'Project finance'!$L$6/((1+$C$35)^N3)</f>
        <v>284487.51349940913</v>
      </c>
      <c r="O41" s="131">
        <f>'Project finance'!$L$6/((1+$C$35)^O3)</f>
        <v>271893.20890212874</v>
      </c>
      <c r="P41" s="131">
        <f>'Project finance'!$L$6/((1+$C$35)^P3)</f>
        <v>259856.45604530248</v>
      </c>
      <c r="Q41" s="131">
        <f>'Project finance'!$L$6/((1+$C$35)^Q3)</f>
        <v>248352.5720303327</v>
      </c>
      <c r="R41" s="131">
        <f>'Project finance'!$L$6/((1+$C$35)^R3)</f>
        <v>237357.96667421912</v>
      </c>
      <c r="S41" s="131">
        <f>'Project finance'!$L$6/((1+$C$35)^S3)</f>
        <v>226850.09413487671</v>
      </c>
      <c r="T41" s="131">
        <f>'Project finance'!$L$6/((1+$C$35)^T3)</f>
        <v>216807.40667800771</v>
      </c>
      <c r="U41" s="131">
        <f>'Project finance'!$L$6/((1+$C$35)^U3)</f>
        <v>207209.31049072125</v>
      </c>
      <c r="V41" s="131">
        <f>'Project finance'!$L$6/((1+$C$35)^V3)</f>
        <v>198036.12345129071</v>
      </c>
      <c r="W41" s="131">
        <f>'Project finance'!$L$6/((1+$C$35)^W3)</f>
        <v>189269.03476844993</v>
      </c>
      <c r="X41" s="131">
        <f>'Project finance'!$L$6/((1+$C$35)^X3)</f>
        <v>180890.06640746395</v>
      </c>
      <c r="Y41" s="131">
        <f>'Project finance'!$L$6/((1+$C$35)^Y3)</f>
        <v>172882.03622387344</v>
      </c>
      <c r="Z41" s="131">
        <f>'Project finance'!$L$6/((1+$C$35)^Z3)</f>
        <v>165228.52272931347</v>
      </c>
      <c r="AA41" s="131">
        <f>'Project finance'!$L$6/((1+$C$35)^AA3)</f>
        <v>157913.83141715519</v>
      </c>
      <c r="AB41" s="150">
        <f>'Project finance'!$L$6/((1+$C$35)^AB3)</f>
        <v>150922.96257891573</v>
      </c>
    </row>
    <row r="42" spans="2:28" ht="15" thickBot="1" x14ac:dyDescent="0.35"/>
    <row r="43" spans="2:28" x14ac:dyDescent="0.3">
      <c r="B43" s="144" t="s">
        <v>123</v>
      </c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6"/>
    </row>
    <row r="44" spans="2:28" x14ac:dyDescent="0.3">
      <c r="B44" s="23" t="s">
        <v>45</v>
      </c>
      <c r="C44" s="129">
        <f>-'Project finance'!E4+'Project finance'!M12</f>
        <v>-191870257</v>
      </c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98"/>
    </row>
    <row r="45" spans="2:28" x14ac:dyDescent="0.3">
      <c r="B45" s="23" t="s">
        <v>48</v>
      </c>
      <c r="C45" s="129"/>
      <c r="D45" s="129">
        <f>'Project finance'!M16</f>
        <v>-7146124.4280403238</v>
      </c>
      <c r="E45" s="129">
        <f>D45</f>
        <v>-7146124.4280403238</v>
      </c>
      <c r="F45" s="129">
        <f t="shared" ref="F45:AB45" si="14">E45</f>
        <v>-7146124.4280403238</v>
      </c>
      <c r="G45" s="129">
        <f t="shared" si="14"/>
        <v>-7146124.4280403238</v>
      </c>
      <c r="H45" s="129">
        <f t="shared" si="14"/>
        <v>-7146124.4280403238</v>
      </c>
      <c r="I45" s="129">
        <f t="shared" si="14"/>
        <v>-7146124.4280403238</v>
      </c>
      <c r="J45" s="129">
        <f t="shared" si="14"/>
        <v>-7146124.4280403238</v>
      </c>
      <c r="K45" s="129">
        <f t="shared" si="14"/>
        <v>-7146124.4280403238</v>
      </c>
      <c r="L45" s="129">
        <f t="shared" si="14"/>
        <v>-7146124.4280403238</v>
      </c>
      <c r="M45" s="129">
        <f t="shared" si="14"/>
        <v>-7146124.4280403238</v>
      </c>
      <c r="N45" s="129">
        <f t="shared" si="14"/>
        <v>-7146124.4280403238</v>
      </c>
      <c r="O45" s="129">
        <f t="shared" si="14"/>
        <v>-7146124.4280403238</v>
      </c>
      <c r="P45" s="129">
        <f t="shared" si="14"/>
        <v>-7146124.4280403238</v>
      </c>
      <c r="Q45" s="129">
        <f t="shared" si="14"/>
        <v>-7146124.4280403238</v>
      </c>
      <c r="R45" s="129">
        <f t="shared" si="14"/>
        <v>-7146124.4280403238</v>
      </c>
      <c r="S45" s="129">
        <f t="shared" si="14"/>
        <v>-7146124.4280403238</v>
      </c>
      <c r="T45" s="129">
        <f t="shared" si="14"/>
        <v>-7146124.4280403238</v>
      </c>
      <c r="U45" s="129">
        <f t="shared" si="14"/>
        <v>-7146124.4280403238</v>
      </c>
      <c r="V45" s="129">
        <f t="shared" si="14"/>
        <v>-7146124.4280403238</v>
      </c>
      <c r="W45" s="129">
        <f t="shared" si="14"/>
        <v>-7146124.4280403238</v>
      </c>
      <c r="X45" s="129">
        <f t="shared" si="14"/>
        <v>-7146124.4280403238</v>
      </c>
      <c r="Y45" s="129">
        <f t="shared" si="14"/>
        <v>-7146124.4280403238</v>
      </c>
      <c r="Z45" s="129">
        <f t="shared" si="14"/>
        <v>-7146124.4280403238</v>
      </c>
      <c r="AA45" s="129">
        <f t="shared" si="14"/>
        <v>-7146124.4280403238</v>
      </c>
      <c r="AB45" s="98">
        <f t="shared" si="14"/>
        <v>-7146124.4280403238</v>
      </c>
    </row>
    <row r="46" spans="2:28" x14ac:dyDescent="0.3">
      <c r="B46" s="23" t="s">
        <v>94</v>
      </c>
      <c r="D46" s="129">
        <f>'Project finance'!M15</f>
        <v>30888648.227691025</v>
      </c>
      <c r="E46" s="5">
        <f>D46</f>
        <v>30888648.227691025</v>
      </c>
      <c r="F46" s="5">
        <f t="shared" ref="F46:AB46" si="15">E46</f>
        <v>30888648.227691025</v>
      </c>
      <c r="G46" s="5">
        <f t="shared" si="15"/>
        <v>30888648.227691025</v>
      </c>
      <c r="H46" s="5">
        <f t="shared" si="15"/>
        <v>30888648.227691025</v>
      </c>
      <c r="I46" s="5">
        <f t="shared" si="15"/>
        <v>30888648.227691025</v>
      </c>
      <c r="J46" s="5">
        <f t="shared" si="15"/>
        <v>30888648.227691025</v>
      </c>
      <c r="K46" s="5">
        <f t="shared" si="15"/>
        <v>30888648.227691025</v>
      </c>
      <c r="L46" s="5">
        <f t="shared" si="15"/>
        <v>30888648.227691025</v>
      </c>
      <c r="M46" s="5">
        <f t="shared" si="15"/>
        <v>30888648.227691025</v>
      </c>
      <c r="N46" s="5">
        <f t="shared" si="15"/>
        <v>30888648.227691025</v>
      </c>
      <c r="O46" s="5">
        <f t="shared" si="15"/>
        <v>30888648.227691025</v>
      </c>
      <c r="P46" s="5">
        <f t="shared" si="15"/>
        <v>30888648.227691025</v>
      </c>
      <c r="Q46" s="5">
        <f t="shared" si="15"/>
        <v>30888648.227691025</v>
      </c>
      <c r="R46" s="5">
        <f t="shared" si="15"/>
        <v>30888648.227691025</v>
      </c>
      <c r="S46" s="5">
        <f t="shared" si="15"/>
        <v>30888648.227691025</v>
      </c>
      <c r="T46" s="5">
        <f t="shared" si="15"/>
        <v>30888648.227691025</v>
      </c>
      <c r="U46" s="5">
        <f t="shared" si="15"/>
        <v>30888648.227691025</v>
      </c>
      <c r="V46" s="5">
        <f t="shared" si="15"/>
        <v>30888648.227691025</v>
      </c>
      <c r="W46" s="5">
        <f t="shared" si="15"/>
        <v>30888648.227691025</v>
      </c>
      <c r="X46" s="5">
        <f t="shared" si="15"/>
        <v>30888648.227691025</v>
      </c>
      <c r="Y46" s="5">
        <f t="shared" si="15"/>
        <v>30888648.227691025</v>
      </c>
      <c r="Z46" s="5">
        <f t="shared" si="15"/>
        <v>30888648.227691025</v>
      </c>
      <c r="AA46" s="5">
        <f t="shared" si="15"/>
        <v>30888648.227691025</v>
      </c>
      <c r="AB46" s="130">
        <f t="shared" si="15"/>
        <v>30888648.227691025</v>
      </c>
    </row>
    <row r="47" spans="2:28" x14ac:dyDescent="0.3">
      <c r="B47" s="23" t="s">
        <v>163</v>
      </c>
      <c r="C47" s="5"/>
      <c r="D47" s="5">
        <f t="shared" ref="D47:AB47" si="16">SUM(D44:D45)+D46</f>
        <v>23742523.799650699</v>
      </c>
      <c r="E47" s="5">
        <f t="shared" si="16"/>
        <v>23742523.799650699</v>
      </c>
      <c r="F47" s="5">
        <f t="shared" si="16"/>
        <v>23742523.799650699</v>
      </c>
      <c r="G47" s="5">
        <f t="shared" si="16"/>
        <v>23742523.799650699</v>
      </c>
      <c r="H47" s="5">
        <f t="shared" si="16"/>
        <v>23742523.799650699</v>
      </c>
      <c r="I47" s="5">
        <f t="shared" si="16"/>
        <v>23742523.799650699</v>
      </c>
      <c r="J47" s="5">
        <f t="shared" si="16"/>
        <v>23742523.799650699</v>
      </c>
      <c r="K47" s="5">
        <f t="shared" si="16"/>
        <v>23742523.799650699</v>
      </c>
      <c r="L47" s="5">
        <f t="shared" si="16"/>
        <v>23742523.799650699</v>
      </c>
      <c r="M47" s="5">
        <f t="shared" si="16"/>
        <v>23742523.799650699</v>
      </c>
      <c r="N47" s="5">
        <f t="shared" si="16"/>
        <v>23742523.799650699</v>
      </c>
      <c r="O47" s="5">
        <f t="shared" si="16"/>
        <v>23742523.799650699</v>
      </c>
      <c r="P47" s="5">
        <f t="shared" si="16"/>
        <v>23742523.799650699</v>
      </c>
      <c r="Q47" s="5">
        <f t="shared" si="16"/>
        <v>23742523.799650699</v>
      </c>
      <c r="R47" s="5">
        <f t="shared" si="16"/>
        <v>23742523.799650699</v>
      </c>
      <c r="S47" s="5">
        <f t="shared" si="16"/>
        <v>23742523.799650699</v>
      </c>
      <c r="T47" s="5">
        <f t="shared" si="16"/>
        <v>23742523.799650699</v>
      </c>
      <c r="U47" s="5">
        <f t="shared" si="16"/>
        <v>23742523.799650699</v>
      </c>
      <c r="V47" s="5">
        <f t="shared" si="16"/>
        <v>23742523.799650699</v>
      </c>
      <c r="W47" s="5">
        <f t="shared" si="16"/>
        <v>23742523.799650699</v>
      </c>
      <c r="X47" s="5">
        <f t="shared" si="16"/>
        <v>23742523.799650699</v>
      </c>
      <c r="Y47" s="5">
        <f t="shared" si="16"/>
        <v>23742523.799650699</v>
      </c>
      <c r="Z47" s="5">
        <f t="shared" si="16"/>
        <v>23742523.799650699</v>
      </c>
      <c r="AA47" s="5">
        <f t="shared" si="16"/>
        <v>23742523.799650699</v>
      </c>
      <c r="AB47" s="130">
        <f t="shared" si="16"/>
        <v>23742523.799650699</v>
      </c>
    </row>
    <row r="48" spans="2:28" x14ac:dyDescent="0.3">
      <c r="B48" s="23" t="s">
        <v>116</v>
      </c>
      <c r="C48" s="151">
        <f>'Project finance'!M22</f>
        <v>4.6047392635133029E-2</v>
      </c>
      <c r="AB48" s="24"/>
    </row>
    <row r="49" spans="2:28" x14ac:dyDescent="0.3">
      <c r="B49" s="23" t="s">
        <v>120</v>
      </c>
      <c r="C49" s="5">
        <f t="shared" ref="C49:AB49" si="17">(C47*(1-20%)+C44)/((1+$C$48)^C3)</f>
        <v>-191870257</v>
      </c>
      <c r="D49" s="5">
        <f>(D47*(1-20%)+D44)/((1+$C$48)^D3)</f>
        <v>18157895.305175506</v>
      </c>
      <c r="E49" s="5">
        <f t="shared" si="17"/>
        <v>17358578.046290375</v>
      </c>
      <c r="F49" s="5">
        <f t="shared" si="17"/>
        <v>16594447.02841025</v>
      </c>
      <c r="G49" s="5">
        <f t="shared" si="17"/>
        <v>15863953.340208253</v>
      </c>
      <c r="H49" s="5">
        <f t="shared" si="17"/>
        <v>15165616.254006272</v>
      </c>
      <c r="I49" s="5">
        <f t="shared" si="17"/>
        <v>14498020.224305574</v>
      </c>
      <c r="J49" s="5">
        <f t="shared" si="17"/>
        <v>13859812.018443186</v>
      </c>
      <c r="K49" s="5">
        <f t="shared" si="17"/>
        <v>13249697.973557843</v>
      </c>
      <c r="L49" s="5">
        <f t="shared" si="17"/>
        <v>12666441.374305313</v>
      </c>
      <c r="M49" s="5">
        <f t="shared" si="17"/>
        <v>12108859.946007663</v>
      </c>
      <c r="N49" s="5">
        <f t="shared" si="17"/>
        <v>11575823.458155015</v>
      </c>
      <c r="O49" s="5">
        <f t="shared" si="17"/>
        <v>11066251.43340205</v>
      </c>
      <c r="P49" s="5">
        <f t="shared" si="17"/>
        <v>10579110.957415309</v>
      </c>
      <c r="Q49" s="5">
        <f t="shared" si="17"/>
        <v>10113414.585131861</v>
      </c>
      <c r="R49" s="5">
        <f t="shared" si="17"/>
        <v>9668218.3391852081</v>
      </c>
      <c r="S49" s="5">
        <f t="shared" si="17"/>
        <v>9242619.7964412272</v>
      </c>
      <c r="T49" s="5">
        <f t="shared" si="17"/>
        <v>8835756.2587655168</v>
      </c>
      <c r="U49" s="5">
        <f t="shared" si="17"/>
        <v>8446803.0043142382</v>
      </c>
      <c r="V49" s="5">
        <f t="shared" si="17"/>
        <v>8074971.615803767</v>
      </c>
      <c r="W49" s="5">
        <f t="shared" si="17"/>
        <v>7719508.3823705511</v>
      </c>
      <c r="X49" s="5">
        <f t="shared" si="17"/>
        <v>7379692.7717816681</v>
      </c>
      <c r="Y49" s="5">
        <f t="shared" si="17"/>
        <v>7054835.9698992576</v>
      </c>
      <c r="Z49" s="5">
        <f t="shared" si="17"/>
        <v>6744279.4844382564</v>
      </c>
      <c r="AA49" s="5">
        <f t="shared" si="17"/>
        <v>6447393.8101872392</v>
      </c>
      <c r="AB49" s="130">
        <f t="shared" si="17"/>
        <v>6163577.1529867249</v>
      </c>
    </row>
    <row r="50" spans="2:28" x14ac:dyDescent="0.3">
      <c r="B50" s="55" t="s">
        <v>93</v>
      </c>
      <c r="C50" s="11">
        <f>SUM(C49:AB49)</f>
        <v>86765321.530988112</v>
      </c>
      <c r="AB50" s="24"/>
    </row>
    <row r="51" spans="2:28" x14ac:dyDescent="0.3">
      <c r="B51" s="55"/>
      <c r="C51" s="152"/>
      <c r="AB51" s="24"/>
    </row>
    <row r="52" spans="2:28" x14ac:dyDescent="0.3">
      <c r="B52" s="55" t="s">
        <v>149</v>
      </c>
      <c r="C52" s="148">
        <f>-SUM(C53:AB53)/SUM(C54:AB54)</f>
        <v>42.823161207451349</v>
      </c>
      <c r="AB52" s="24"/>
    </row>
    <row r="53" spans="2:28" x14ac:dyDescent="0.3">
      <c r="B53" s="23" t="s">
        <v>151</v>
      </c>
      <c r="C53" s="129">
        <f t="shared" ref="C53:AB53" si="18">SUM(C44:C45)/((1+$C$48)^C3)</f>
        <v>-191870257</v>
      </c>
      <c r="D53" s="129">
        <f t="shared" si="18"/>
        <v>-6831549.3909298722</v>
      </c>
      <c r="E53" s="129">
        <f t="shared" si="18"/>
        <v>-6530822.0631574709</v>
      </c>
      <c r="F53" s="129">
        <f t="shared" si="18"/>
        <v>-6243332.8634426957</v>
      </c>
      <c r="G53" s="129">
        <f t="shared" si="18"/>
        <v>-5968499.0444982685</v>
      </c>
      <c r="H53" s="129">
        <f t="shared" si="18"/>
        <v>-5705763.5117877619</v>
      </c>
      <c r="I53" s="129">
        <f t="shared" si="18"/>
        <v>-5454593.6942820363</v>
      </c>
      <c r="J53" s="129">
        <f t="shared" si="18"/>
        <v>-5214480.464925386</v>
      </c>
      <c r="K53" s="129">
        <f t="shared" si="18"/>
        <v>-4984937.1086231712</v>
      </c>
      <c r="L53" s="129">
        <f t="shared" si="18"/>
        <v>-4765498.3356590085</v>
      </c>
      <c r="M53" s="129">
        <f t="shared" si="18"/>
        <v>-4555719.3385417098</v>
      </c>
      <c r="N53" s="129">
        <f t="shared" si="18"/>
        <v>-4355174.8903701622</v>
      </c>
      <c r="O53" s="129">
        <f t="shared" si="18"/>
        <v>-4163458.4828885202</v>
      </c>
      <c r="P53" s="129">
        <f t="shared" si="18"/>
        <v>-3980181.5024845218</v>
      </c>
      <c r="Q53" s="129">
        <f t="shared" si="18"/>
        <v>-3804972.4424606743</v>
      </c>
      <c r="R53" s="129">
        <f t="shared" si="18"/>
        <v>-3637476.149981542</v>
      </c>
      <c r="S53" s="129">
        <f t="shared" si="18"/>
        <v>-3477353.1061707013</v>
      </c>
      <c r="T53" s="129">
        <f t="shared" si="18"/>
        <v>-3324278.7378980834</v>
      </c>
      <c r="U53" s="129">
        <f t="shared" si="18"/>
        <v>-3177942.7598627075</v>
      </c>
      <c r="V53" s="129">
        <f t="shared" si="18"/>
        <v>-3038048.5456371582</v>
      </c>
      <c r="W53" s="129">
        <f t="shared" si="18"/>
        <v>-2904312.5263989321</v>
      </c>
      <c r="X53" s="129">
        <f t="shared" si="18"/>
        <v>-2776463.6161298403</v>
      </c>
      <c r="Y53" s="129">
        <f t="shared" si="18"/>
        <v>-2654242.6621183553</v>
      </c>
      <c r="Z53" s="129">
        <f t="shared" si="18"/>
        <v>-2537401.9196510436</v>
      </c>
      <c r="AA53" s="129">
        <f t="shared" si="18"/>
        <v>-2425704.5498282728</v>
      </c>
      <c r="AB53" s="98">
        <f t="shared" si="18"/>
        <v>-2318924.1394862612</v>
      </c>
    </row>
    <row r="54" spans="2:28" ht="15" thickBot="1" x14ac:dyDescent="0.35">
      <c r="B54" s="25" t="s">
        <v>152</v>
      </c>
      <c r="C54" s="149">
        <v>0</v>
      </c>
      <c r="D54" s="131">
        <f>'Project finance'!$M$6/((1+$C$48)^D3)</f>
        <v>451512.51563301613</v>
      </c>
      <c r="E54" s="131">
        <f>'Project finance'!$M$6/((1+$C$48)^E3)</f>
        <v>431636.76790551125</v>
      </c>
      <c r="F54" s="131">
        <f>'Project finance'!$M$6/((1+$C$48)^F3)</f>
        <v>412635.95793509949</v>
      </c>
      <c r="G54" s="131">
        <f>'Project finance'!$M$6/((1+$C$48)^G3)</f>
        <v>394471.57063851046</v>
      </c>
      <c r="H54" s="131">
        <f>'Project finance'!$M$6/((1+$C$48)^H3)</f>
        <v>377106.78638066666</v>
      </c>
      <c r="I54" s="131">
        <f>'Project finance'!$M$6/((1+$C$48)^I3)</f>
        <v>360506.40634042816</v>
      </c>
      <c r="J54" s="131">
        <f>'Project finance'!$M$6/((1+$C$48)^J3)</f>
        <v>344636.781161764</v>
      </c>
      <c r="K54" s="131">
        <f>'Project finance'!$M$6/((1+$C$48)^K3)</f>
        <v>329465.7427457259</v>
      </c>
      <c r="L54" s="131">
        <f>'Project finance'!$M$6/((1+$C$48)^L3)</f>
        <v>314962.53904496407</v>
      </c>
      <c r="M54" s="131">
        <f>'Project finance'!$M$6/((1+$C$48)^M3)</f>
        <v>301097.77172861295</v>
      </c>
      <c r="N54" s="131">
        <f>'Project finance'!$M$6/((1+$C$48)^N3)</f>
        <v>287843.33659119159</v>
      </c>
      <c r="O54" s="131">
        <f>'Project finance'!$M$6/((1+$C$48)^O3)</f>
        <v>275172.36658472603</v>
      </c>
      <c r="P54" s="131">
        <f>'Project finance'!$M$6/((1+$C$48)^P3)</f>
        <v>263059.17735861859</v>
      </c>
      <c r="Q54" s="131">
        <f>'Project finance'!$M$6/((1+$C$48)^Q3)</f>
        <v>251479.21519687309</v>
      </c>
      <c r="R54" s="131">
        <f>'Project finance'!$M$6/((1+$C$48)^R3)</f>
        <v>240409.00724714145</v>
      </c>
      <c r="S54" s="131">
        <f>'Project finance'!$M$6/((1+$C$48)^S3)</f>
        <v>229826.11394070691</v>
      </c>
      <c r="T54" s="131">
        <f>'Project finance'!$M$6/((1+$C$48)^T3)</f>
        <v>219709.08350695684</v>
      </c>
      <c r="U54" s="131">
        <f>'Project finance'!$M$6/((1+$C$48)^U3)</f>
        <v>210037.40849014532</v>
      </c>
      <c r="V54" s="131">
        <f>'Project finance'!$M$6/((1+$C$48)^V3)</f>
        <v>200791.48418030376</v>
      </c>
      <c r="W54" s="131">
        <f>'Project finance'!$M$6/((1+$C$48)^W3)</f>
        <v>191952.56887403855</v>
      </c>
      <c r="X54" s="131">
        <f>'Project finance'!$M$6/((1+$C$48)^X3)</f>
        <v>183502.74588466244</v>
      </c>
      <c r="Y54" s="131">
        <f>'Project finance'!$M$6/((1+$C$48)^Y3)</f>
        <v>175424.88722465484</v>
      </c>
      <c r="Z54" s="131">
        <f>'Project finance'!$M$6/((1+$C$48)^Z3)</f>
        <v>167702.61888683276</v>
      </c>
      <c r="AA54" s="131">
        <f>'Project finance'!$M$6/((1+$C$48)^AA3)</f>
        <v>160320.28765385813</v>
      </c>
      <c r="AB54" s="150">
        <f>'Project finance'!$M$6/((1+$C$48)^AB3)</f>
        <v>153262.92936880226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794A-0C97-47CD-9A15-D4C497C9C809}">
  <dimension ref="B1:E1001"/>
  <sheetViews>
    <sheetView workbookViewId="0">
      <selection activeCell="E13" sqref="E13"/>
    </sheetView>
  </sheetViews>
  <sheetFormatPr defaultRowHeight="14.4" x14ac:dyDescent="0.3"/>
  <sheetData>
    <row r="1" spans="2:5" x14ac:dyDescent="0.3">
      <c r="B1">
        <v>1</v>
      </c>
      <c r="C1">
        <v>2</v>
      </c>
      <c r="D1">
        <v>3</v>
      </c>
      <c r="E1">
        <v>4</v>
      </c>
    </row>
    <row r="2" spans="2:5" x14ac:dyDescent="0.3">
      <c r="B2">
        <v>466.82611505354998</v>
      </c>
      <c r="C2">
        <v>462.66499746506952</v>
      </c>
      <c r="D2">
        <v>470.20708100000002</v>
      </c>
      <c r="E2">
        <v>469.6596409</v>
      </c>
    </row>
    <row r="3" spans="2:5" x14ac:dyDescent="0.3">
      <c r="B3">
        <v>460.78801364764638</v>
      </c>
      <c r="C3">
        <v>474.88328639649666</v>
      </c>
      <c r="D3">
        <v>470.25300390000001</v>
      </c>
      <c r="E3">
        <v>469.71516680000002</v>
      </c>
    </row>
    <row r="4" spans="2:5" x14ac:dyDescent="0.3">
      <c r="B4">
        <v>484.88181816928</v>
      </c>
      <c r="C4">
        <v>451.61755915482587</v>
      </c>
      <c r="D4">
        <v>470.28426539999998</v>
      </c>
      <c r="E4">
        <v>469.62378389999998</v>
      </c>
    </row>
    <row r="5" spans="2:5" x14ac:dyDescent="0.3">
      <c r="B5">
        <v>470.03248782583717</v>
      </c>
      <c r="C5">
        <v>470.24616739145245</v>
      </c>
      <c r="D5">
        <v>470.04712649999999</v>
      </c>
      <c r="E5">
        <v>469.57763199999999</v>
      </c>
    </row>
    <row r="6" spans="2:5" x14ac:dyDescent="0.3">
      <c r="B6">
        <v>470.43055727092877</v>
      </c>
      <c r="C6">
        <v>467.47799298320916</v>
      </c>
      <c r="D6">
        <v>470.1446029</v>
      </c>
      <c r="E6">
        <v>469.61203160000002</v>
      </c>
    </row>
    <row r="7" spans="2:5" x14ac:dyDescent="0.3">
      <c r="B7">
        <v>481.55929929434274</v>
      </c>
      <c r="C7">
        <v>470.09261984423489</v>
      </c>
      <c r="D7">
        <v>470.22224890000001</v>
      </c>
      <c r="E7">
        <v>469.67131430000001</v>
      </c>
    </row>
    <row r="8" spans="2:5" x14ac:dyDescent="0.3">
      <c r="B8">
        <v>452.02148361070141</v>
      </c>
      <c r="C8">
        <v>474.60376471917704</v>
      </c>
      <c r="D8">
        <v>470.1407504</v>
      </c>
      <c r="E8">
        <v>469.62716169999999</v>
      </c>
    </row>
    <row r="9" spans="2:5" x14ac:dyDescent="0.3">
      <c r="B9">
        <v>470.54973626218816</v>
      </c>
      <c r="C9">
        <v>458.55589471592293</v>
      </c>
      <c r="D9">
        <v>470.1467159</v>
      </c>
      <c r="E9">
        <v>469.64888300000001</v>
      </c>
    </row>
    <row r="10" spans="2:5" x14ac:dyDescent="0.3">
      <c r="B10">
        <v>465.98177332360223</v>
      </c>
      <c r="C10">
        <v>469.6103459556993</v>
      </c>
      <c r="D10">
        <v>470.21259350000003</v>
      </c>
      <c r="E10">
        <v>469.62983850000001</v>
      </c>
    </row>
    <row r="11" spans="2:5" x14ac:dyDescent="0.3">
      <c r="B11">
        <v>455.34208075210006</v>
      </c>
      <c r="C11">
        <v>468.31371025005137</v>
      </c>
      <c r="D11">
        <v>470.14362340000002</v>
      </c>
      <c r="E11">
        <v>469.6650267</v>
      </c>
    </row>
    <row r="12" spans="2:5" x14ac:dyDescent="0.3">
      <c r="B12">
        <v>460.87234213951479</v>
      </c>
      <c r="C12">
        <v>473.0925825093488</v>
      </c>
      <c r="D12">
        <v>470.18050849999997</v>
      </c>
      <c r="E12">
        <v>469.57974000000002</v>
      </c>
    </row>
    <row r="13" spans="2:5" x14ac:dyDescent="0.3">
      <c r="B13">
        <v>458.79501273968282</v>
      </c>
      <c r="C13">
        <v>471.89732307465584</v>
      </c>
      <c r="D13">
        <v>470.14460300000002</v>
      </c>
      <c r="E13">
        <v>469.68664840000002</v>
      </c>
    </row>
    <row r="14" spans="2:5" x14ac:dyDescent="0.3">
      <c r="B14">
        <v>468.10032025165106</v>
      </c>
      <c r="C14">
        <v>467.15889392028106</v>
      </c>
      <c r="D14">
        <v>470.24190629999998</v>
      </c>
      <c r="E14">
        <v>469.65619040000001</v>
      </c>
    </row>
    <row r="15" spans="2:5" x14ac:dyDescent="0.3">
      <c r="B15">
        <v>479.0840705303965</v>
      </c>
      <c r="C15">
        <v>471.81782246053871</v>
      </c>
      <c r="D15">
        <v>470.17102499999999</v>
      </c>
      <c r="E15">
        <v>469.6496922</v>
      </c>
    </row>
    <row r="16" spans="2:5" x14ac:dyDescent="0.3">
      <c r="B16">
        <v>468.77584433436016</v>
      </c>
      <c r="C16">
        <v>466.69077242118766</v>
      </c>
      <c r="D16">
        <v>470.14428909999998</v>
      </c>
      <c r="E16">
        <v>469.5243845</v>
      </c>
    </row>
    <row r="17" spans="2:5" x14ac:dyDescent="0.3">
      <c r="B17">
        <v>453.87673583835141</v>
      </c>
      <c r="C17">
        <v>445.04641852252979</v>
      </c>
      <c r="D17">
        <v>470.08186569999998</v>
      </c>
      <c r="E17">
        <v>469.691689</v>
      </c>
    </row>
    <row r="18" spans="2:5" x14ac:dyDescent="0.3">
      <c r="B18">
        <v>448.35453024002908</v>
      </c>
      <c r="C18">
        <v>473.44929134083566</v>
      </c>
      <c r="D18">
        <v>470.06122850000003</v>
      </c>
      <c r="E18">
        <v>469.49885369999998</v>
      </c>
    </row>
    <row r="19" spans="2:5" x14ac:dyDescent="0.3">
      <c r="B19">
        <v>465.80360995871365</v>
      </c>
      <c r="C19">
        <v>465.97827130277716</v>
      </c>
      <c r="D19">
        <v>470.08275279999998</v>
      </c>
      <c r="E19">
        <v>469.63504640000002</v>
      </c>
    </row>
    <row r="20" spans="2:5" x14ac:dyDescent="0.3">
      <c r="B20">
        <v>471.7464803389866</v>
      </c>
      <c r="C20">
        <v>472.20053305575107</v>
      </c>
      <c r="D20">
        <v>470.04848240000001</v>
      </c>
      <c r="E20">
        <v>469.69886989999998</v>
      </c>
    </row>
    <row r="21" spans="2:5" x14ac:dyDescent="0.3">
      <c r="B21">
        <v>467.40599275909574</v>
      </c>
      <c r="C21">
        <v>461.07042106836218</v>
      </c>
      <c r="D21">
        <v>470.27832569999998</v>
      </c>
      <c r="E21">
        <v>469.57553209999998</v>
      </c>
    </row>
    <row r="22" spans="2:5" x14ac:dyDescent="0.3">
      <c r="B22">
        <v>463.17871684333738</v>
      </c>
      <c r="C22">
        <v>464.73344621659402</v>
      </c>
      <c r="D22">
        <v>470.0535888</v>
      </c>
      <c r="E22">
        <v>469.6252503</v>
      </c>
    </row>
    <row r="23" spans="2:5" x14ac:dyDescent="0.3">
      <c r="B23">
        <v>451.22702803006126</v>
      </c>
      <c r="C23">
        <v>457.28763476154774</v>
      </c>
      <c r="D23">
        <v>470.31209439999998</v>
      </c>
      <c r="E23">
        <v>469.61604269999998</v>
      </c>
    </row>
    <row r="24" spans="2:5" x14ac:dyDescent="0.3">
      <c r="B24">
        <v>473.04757762766718</v>
      </c>
      <c r="C24">
        <v>474.11941347862728</v>
      </c>
      <c r="D24">
        <v>470.12087869999999</v>
      </c>
      <c r="E24">
        <v>469.71733899999998</v>
      </c>
    </row>
    <row r="25" spans="2:5" x14ac:dyDescent="0.3">
      <c r="B25">
        <v>458.68581172100556</v>
      </c>
      <c r="C25">
        <v>465.66776590579121</v>
      </c>
      <c r="D25">
        <v>470.10976499999998</v>
      </c>
      <c r="E25">
        <v>469.63980729999997</v>
      </c>
    </row>
    <row r="26" spans="2:5" x14ac:dyDescent="0.3">
      <c r="B26">
        <v>469.35616417140966</v>
      </c>
      <c r="C26">
        <v>475.77746331290359</v>
      </c>
      <c r="D26">
        <v>470.14138489999999</v>
      </c>
      <c r="E26">
        <v>469.6404872</v>
      </c>
    </row>
    <row r="27" spans="2:5" x14ac:dyDescent="0.3">
      <c r="B27">
        <v>492.47158616455437</v>
      </c>
      <c r="C27">
        <v>460.34553611242649</v>
      </c>
      <c r="D27">
        <v>470.03771979999999</v>
      </c>
      <c r="E27">
        <v>469.72790020000002</v>
      </c>
    </row>
    <row r="28" spans="2:5" x14ac:dyDescent="0.3">
      <c r="B28">
        <v>467.31769301279201</v>
      </c>
      <c r="C28">
        <v>465.10386378001095</v>
      </c>
      <c r="D28">
        <v>470.12941510000002</v>
      </c>
      <c r="E28">
        <v>469.5379183</v>
      </c>
    </row>
    <row r="29" spans="2:5" x14ac:dyDescent="0.3">
      <c r="B29">
        <v>468.01206782599621</v>
      </c>
      <c r="C29">
        <v>470.64253587427908</v>
      </c>
      <c r="D29">
        <v>470.30598989999999</v>
      </c>
      <c r="E29">
        <v>469.67768860000001</v>
      </c>
    </row>
    <row r="30" spans="2:5" x14ac:dyDescent="0.3">
      <c r="B30">
        <v>457.82914299123752</v>
      </c>
      <c r="C30">
        <v>470.86171896074552</v>
      </c>
      <c r="D30">
        <v>470.30931320000002</v>
      </c>
      <c r="E30">
        <v>469.61074079999997</v>
      </c>
    </row>
    <row r="31" spans="2:5" x14ac:dyDescent="0.3">
      <c r="B31">
        <v>464.31106650569143</v>
      </c>
      <c r="C31">
        <v>472.31056636002972</v>
      </c>
      <c r="D31">
        <v>470.04725939999997</v>
      </c>
      <c r="E31">
        <v>469.67855259999999</v>
      </c>
    </row>
    <row r="32" spans="2:5" x14ac:dyDescent="0.3">
      <c r="B32">
        <v>454.30715546571292</v>
      </c>
      <c r="C32">
        <v>463.03522314470575</v>
      </c>
      <c r="D32">
        <v>470.1900321</v>
      </c>
      <c r="E32">
        <v>469.76562639999997</v>
      </c>
    </row>
    <row r="33" spans="2:5" x14ac:dyDescent="0.3">
      <c r="B33">
        <v>456.95841827833482</v>
      </c>
      <c r="C33">
        <v>461.23367839706469</v>
      </c>
      <c r="D33">
        <v>470.0738771</v>
      </c>
      <c r="E33">
        <v>469.61925239999999</v>
      </c>
    </row>
    <row r="34" spans="2:5" x14ac:dyDescent="0.3">
      <c r="B34">
        <v>466.06714669994585</v>
      </c>
      <c r="C34">
        <v>467.02192158679497</v>
      </c>
      <c r="D34">
        <v>470.02123230000001</v>
      </c>
      <c r="E34">
        <v>469.59673800000002</v>
      </c>
    </row>
    <row r="35" spans="2:5" x14ac:dyDescent="0.3">
      <c r="B35">
        <v>464.47692265329476</v>
      </c>
      <c r="C35">
        <v>467.56181086713087</v>
      </c>
      <c r="D35">
        <v>470.16415919999997</v>
      </c>
      <c r="E35">
        <v>469.63305339999999</v>
      </c>
    </row>
    <row r="36" spans="2:5" x14ac:dyDescent="0.3">
      <c r="B36">
        <v>452.15090147936081</v>
      </c>
      <c r="C36">
        <v>470.25787273678486</v>
      </c>
      <c r="D36">
        <v>470.0753947</v>
      </c>
      <c r="E36">
        <v>469.59437250000002</v>
      </c>
    </row>
    <row r="37" spans="2:5" x14ac:dyDescent="0.3">
      <c r="B37">
        <v>454.59149325477745</v>
      </c>
      <c r="C37">
        <v>479.91078084026213</v>
      </c>
      <c r="D37">
        <v>470.11965140000001</v>
      </c>
      <c r="E37">
        <v>469.5882039</v>
      </c>
    </row>
    <row r="38" spans="2:5" x14ac:dyDescent="0.3">
      <c r="B38">
        <v>472.9402558183138</v>
      </c>
      <c r="C38">
        <v>459.30899573132604</v>
      </c>
      <c r="D38">
        <v>469.95006760000001</v>
      </c>
      <c r="E38">
        <v>469.68351109999998</v>
      </c>
    </row>
    <row r="39" spans="2:5" x14ac:dyDescent="0.3">
      <c r="B39">
        <v>472.28516623819036</v>
      </c>
      <c r="C39">
        <v>472.9019377354665</v>
      </c>
      <c r="D39">
        <v>470.20480559999999</v>
      </c>
      <c r="E39">
        <v>469.6201231</v>
      </c>
    </row>
    <row r="40" spans="2:5" x14ac:dyDescent="0.3">
      <c r="B40">
        <v>446.56543784627729</v>
      </c>
      <c r="C40">
        <v>475.81092261599576</v>
      </c>
      <c r="D40">
        <v>470.05768710000001</v>
      </c>
      <c r="E40">
        <v>469.6637422</v>
      </c>
    </row>
    <row r="41" spans="2:5" x14ac:dyDescent="0.3">
      <c r="B41">
        <v>474.66118064101926</v>
      </c>
      <c r="C41">
        <v>462.18707608775338</v>
      </c>
      <c r="D41">
        <v>470.12765330000002</v>
      </c>
      <c r="E41">
        <v>469.59587060000001</v>
      </c>
    </row>
    <row r="42" spans="2:5" x14ac:dyDescent="0.3">
      <c r="B42">
        <v>458.80256117176447</v>
      </c>
      <c r="C42">
        <v>475.54639455496954</v>
      </c>
      <c r="D42">
        <v>470.11827929999998</v>
      </c>
      <c r="E42">
        <v>469.63470949999999</v>
      </c>
    </row>
    <row r="43" spans="2:5" x14ac:dyDescent="0.3">
      <c r="B43">
        <v>475.95236359495016</v>
      </c>
      <c r="C43">
        <v>475.40982030650588</v>
      </c>
      <c r="D43">
        <v>470.15398499999998</v>
      </c>
      <c r="E43">
        <v>469.60423500000002</v>
      </c>
    </row>
    <row r="44" spans="2:5" x14ac:dyDescent="0.3">
      <c r="B44">
        <v>458.14522423177959</v>
      </c>
      <c r="C44">
        <v>465.34014995116746</v>
      </c>
      <c r="D44">
        <v>470.11686509999998</v>
      </c>
      <c r="E44">
        <v>469.64742260000003</v>
      </c>
    </row>
    <row r="45" spans="2:5" x14ac:dyDescent="0.3">
      <c r="B45">
        <v>455.11667321049617</v>
      </c>
      <c r="C45">
        <v>463.40664206273772</v>
      </c>
      <c r="D45">
        <v>470.17314720000002</v>
      </c>
      <c r="E45">
        <v>469.60586710000001</v>
      </c>
    </row>
    <row r="46" spans="2:5" x14ac:dyDescent="0.3">
      <c r="B46">
        <v>457.25501381353939</v>
      </c>
      <c r="C46">
        <v>458.88408818861706</v>
      </c>
      <c r="D46">
        <v>470.18346680000002</v>
      </c>
      <c r="E46">
        <v>469.71447419999998</v>
      </c>
    </row>
    <row r="47" spans="2:5" x14ac:dyDescent="0.3">
      <c r="B47">
        <v>451.08951890826188</v>
      </c>
      <c r="C47">
        <v>464.57014409322193</v>
      </c>
      <c r="D47">
        <v>469.99118399999998</v>
      </c>
      <c r="E47">
        <v>469.6205162</v>
      </c>
    </row>
    <row r="48" spans="2:5" x14ac:dyDescent="0.3">
      <c r="B48">
        <v>458.34948414531971</v>
      </c>
      <c r="C48">
        <v>468.36346325081621</v>
      </c>
      <c r="D48">
        <v>470.23040550000002</v>
      </c>
      <c r="E48">
        <v>469.47978289999998</v>
      </c>
    </row>
    <row r="49" spans="2:5" x14ac:dyDescent="0.3">
      <c r="B49">
        <v>457.60554699526983</v>
      </c>
      <c r="C49">
        <v>468.53791105269926</v>
      </c>
      <c r="D49">
        <v>470.07380799999999</v>
      </c>
      <c r="E49">
        <v>469.66857670000002</v>
      </c>
    </row>
    <row r="50" spans="2:5" x14ac:dyDescent="0.3">
      <c r="B50">
        <v>483.12405261046052</v>
      </c>
      <c r="C50">
        <v>468.97056511939235</v>
      </c>
      <c r="D50">
        <v>470.0889699</v>
      </c>
      <c r="E50">
        <v>469.74044070000002</v>
      </c>
    </row>
    <row r="51" spans="2:5" x14ac:dyDescent="0.3">
      <c r="B51">
        <v>456.50387537189073</v>
      </c>
      <c r="C51">
        <v>457.3585688757617</v>
      </c>
      <c r="D51">
        <v>470.13063890000001</v>
      </c>
      <c r="E51">
        <v>469.6563137</v>
      </c>
    </row>
    <row r="52" spans="2:5" x14ac:dyDescent="0.3">
      <c r="B52">
        <v>456.80751571185345</v>
      </c>
      <c r="C52">
        <v>464.82779391840177</v>
      </c>
      <c r="D52">
        <v>470.11542900000001</v>
      </c>
      <c r="E52">
        <v>469.6240876</v>
      </c>
    </row>
    <row r="53" spans="2:5" x14ac:dyDescent="0.3">
      <c r="B53">
        <v>478.89139049281039</v>
      </c>
      <c r="C53">
        <v>462.01779343223035</v>
      </c>
      <c r="D53">
        <v>470.08747440000002</v>
      </c>
      <c r="E53">
        <v>469.79719890000001</v>
      </c>
    </row>
    <row r="54" spans="2:5" x14ac:dyDescent="0.3">
      <c r="B54">
        <v>461.19808693999647</v>
      </c>
      <c r="C54">
        <v>470.51911294699119</v>
      </c>
      <c r="D54">
        <v>470.25616430000002</v>
      </c>
      <c r="E54">
        <v>469.61521779999998</v>
      </c>
    </row>
    <row r="55" spans="2:5" x14ac:dyDescent="0.3">
      <c r="B55">
        <v>455.12327104440618</v>
      </c>
      <c r="C55">
        <v>466.57273060607025</v>
      </c>
      <c r="D55">
        <v>470.1319949</v>
      </c>
      <c r="E55">
        <v>469.67545869999998</v>
      </c>
    </row>
    <row r="56" spans="2:5" x14ac:dyDescent="0.3">
      <c r="B56">
        <v>457.7923715187556</v>
      </c>
      <c r="C56">
        <v>476.30420393382946</v>
      </c>
      <c r="D56">
        <v>470.23826910000002</v>
      </c>
      <c r="E56">
        <v>469.5628337</v>
      </c>
    </row>
    <row r="57" spans="2:5" x14ac:dyDescent="0.3">
      <c r="B57">
        <v>467.88486054922532</v>
      </c>
      <c r="C57">
        <v>477.28848454874344</v>
      </c>
      <c r="D57">
        <v>470.13608099999999</v>
      </c>
      <c r="E57">
        <v>469.69062869999999</v>
      </c>
    </row>
    <row r="58" spans="2:5" x14ac:dyDescent="0.3">
      <c r="B58">
        <v>462.52018863281677</v>
      </c>
      <c r="C58">
        <v>470.64242783004511</v>
      </c>
      <c r="D58">
        <v>470.14507800000001</v>
      </c>
      <c r="E58">
        <v>469.69421729999999</v>
      </c>
    </row>
    <row r="59" spans="2:5" x14ac:dyDescent="0.3">
      <c r="B59">
        <v>460.81229573638399</v>
      </c>
      <c r="C59">
        <v>475.84415248895579</v>
      </c>
      <c r="D59">
        <v>470.03091569999998</v>
      </c>
      <c r="E59">
        <v>469.47799029999999</v>
      </c>
    </row>
    <row r="60" spans="2:5" x14ac:dyDescent="0.3">
      <c r="B60">
        <v>467.53033519391823</v>
      </c>
      <c r="C60">
        <v>474.41853644834339</v>
      </c>
      <c r="D60">
        <v>470.1469017</v>
      </c>
      <c r="E60">
        <v>469.65963529999999</v>
      </c>
    </row>
    <row r="61" spans="2:5" x14ac:dyDescent="0.3">
      <c r="B61">
        <v>466.654221953064</v>
      </c>
      <c r="C61">
        <v>457.84758442894707</v>
      </c>
      <c r="D61">
        <v>470.3154467</v>
      </c>
      <c r="E61">
        <v>469.69815139999997</v>
      </c>
    </row>
    <row r="62" spans="2:5" x14ac:dyDescent="0.3">
      <c r="B62">
        <v>461.76088024061517</v>
      </c>
      <c r="C62">
        <v>473.02141338971984</v>
      </c>
      <c r="D62">
        <v>470.076728</v>
      </c>
      <c r="E62">
        <v>469.65668929999998</v>
      </c>
    </row>
    <row r="63" spans="2:5" x14ac:dyDescent="0.3">
      <c r="B63">
        <v>467.17447625615881</v>
      </c>
      <c r="C63">
        <v>468.9368586462918</v>
      </c>
      <c r="D63">
        <v>470.2135687</v>
      </c>
      <c r="E63">
        <v>469.5684349</v>
      </c>
    </row>
    <row r="64" spans="2:5" x14ac:dyDescent="0.3">
      <c r="B64">
        <v>464.30868006602418</v>
      </c>
      <c r="C64">
        <v>470.40743836292165</v>
      </c>
      <c r="D64">
        <v>470.04135339999999</v>
      </c>
      <c r="E64">
        <v>469.69672830000002</v>
      </c>
    </row>
    <row r="65" spans="2:5" x14ac:dyDescent="0.3">
      <c r="B65">
        <v>472.16650012240586</v>
      </c>
      <c r="C65">
        <v>467.83084223332668</v>
      </c>
      <c r="D65">
        <v>470.01999260000002</v>
      </c>
      <c r="E65">
        <v>469.63256940000002</v>
      </c>
    </row>
    <row r="66" spans="2:5" x14ac:dyDescent="0.3">
      <c r="B66">
        <v>465.09262609706224</v>
      </c>
      <c r="C66">
        <v>467.45049560366715</v>
      </c>
      <c r="D66">
        <v>470.1768998</v>
      </c>
      <c r="E66">
        <v>469.65690339999998</v>
      </c>
    </row>
    <row r="67" spans="2:5" x14ac:dyDescent="0.3">
      <c r="B67">
        <v>476.44005468918749</v>
      </c>
      <c r="C67">
        <v>468.93045127202743</v>
      </c>
      <c r="D67">
        <v>470.0343451</v>
      </c>
      <c r="E67">
        <v>469.63834270000001</v>
      </c>
    </row>
    <row r="68" spans="2:5" x14ac:dyDescent="0.3">
      <c r="B68">
        <v>458.70867712247252</v>
      </c>
      <c r="C68">
        <v>456.11797337071488</v>
      </c>
      <c r="D68">
        <v>470.23538000000002</v>
      </c>
      <c r="E68">
        <v>469.66121679999998</v>
      </c>
    </row>
    <row r="69" spans="2:5" x14ac:dyDescent="0.3">
      <c r="B69">
        <v>479.17609268077967</v>
      </c>
      <c r="C69">
        <v>469.21739964151658</v>
      </c>
      <c r="D69">
        <v>469.9882978</v>
      </c>
      <c r="E69">
        <v>469.61323820000001</v>
      </c>
    </row>
    <row r="70" spans="2:5" x14ac:dyDescent="0.3">
      <c r="B70">
        <v>476.72320748161599</v>
      </c>
      <c r="C70">
        <v>463.2408911293183</v>
      </c>
      <c r="D70">
        <v>470.21072509999999</v>
      </c>
      <c r="E70">
        <v>469.61166270000001</v>
      </c>
    </row>
    <row r="71" spans="2:5" x14ac:dyDescent="0.3">
      <c r="B71">
        <v>470.74168662275548</v>
      </c>
      <c r="C71">
        <v>466.27595759644737</v>
      </c>
      <c r="D71">
        <v>469.9618352</v>
      </c>
      <c r="E71">
        <v>469.66279630000002</v>
      </c>
    </row>
    <row r="72" spans="2:5" x14ac:dyDescent="0.3">
      <c r="B72">
        <v>480.00848280464328</v>
      </c>
      <c r="C72">
        <v>462.54609479532962</v>
      </c>
      <c r="D72">
        <v>470.14375510000002</v>
      </c>
      <c r="E72">
        <v>469.63269350000002</v>
      </c>
    </row>
    <row r="73" spans="2:5" x14ac:dyDescent="0.3">
      <c r="B73">
        <v>469.96122886744735</v>
      </c>
      <c r="C73">
        <v>464.03521102019261</v>
      </c>
      <c r="D73">
        <v>470.20023470000001</v>
      </c>
      <c r="E73">
        <v>469.48804310000003</v>
      </c>
    </row>
    <row r="74" spans="2:5" x14ac:dyDescent="0.3">
      <c r="B74">
        <v>477.80678715154045</v>
      </c>
      <c r="C74">
        <v>476.81284616291231</v>
      </c>
      <c r="D74">
        <v>470.09529029999999</v>
      </c>
      <c r="E74">
        <v>469.57989420000001</v>
      </c>
    </row>
    <row r="75" spans="2:5" x14ac:dyDescent="0.3">
      <c r="B75">
        <v>476.33354325605899</v>
      </c>
      <c r="C75">
        <v>467.87853973313509</v>
      </c>
      <c r="D75">
        <v>470.26720890000001</v>
      </c>
      <c r="E75">
        <v>469.58291809999997</v>
      </c>
    </row>
    <row r="76" spans="2:5" x14ac:dyDescent="0.3">
      <c r="B76">
        <v>455.65079917607181</v>
      </c>
      <c r="C76">
        <v>475.74007638729512</v>
      </c>
      <c r="D76">
        <v>470.26930110000001</v>
      </c>
      <c r="E76">
        <v>469.49553580000003</v>
      </c>
    </row>
    <row r="77" spans="2:5" x14ac:dyDescent="0.3">
      <c r="B77">
        <v>469.30899435930934</v>
      </c>
      <c r="C77">
        <v>468.04558768715441</v>
      </c>
      <c r="D77">
        <v>470.217513</v>
      </c>
      <c r="E77">
        <v>469.62295699999999</v>
      </c>
    </row>
    <row r="78" spans="2:5" x14ac:dyDescent="0.3">
      <c r="B78">
        <v>469.88681798359119</v>
      </c>
      <c r="C78">
        <v>470.8815969822636</v>
      </c>
      <c r="D78">
        <v>470.1827207</v>
      </c>
      <c r="E78">
        <v>469.7673423</v>
      </c>
    </row>
    <row r="79" spans="2:5" x14ac:dyDescent="0.3">
      <c r="B79">
        <v>482.14571615076341</v>
      </c>
      <c r="C79">
        <v>468.86149340000122</v>
      </c>
      <c r="D79">
        <v>470.06725519999998</v>
      </c>
      <c r="E79">
        <v>469.58723029999999</v>
      </c>
    </row>
    <row r="80" spans="2:5" x14ac:dyDescent="0.3">
      <c r="B80">
        <v>464.29384137364593</v>
      </c>
      <c r="C80">
        <v>460.15061851309918</v>
      </c>
      <c r="D80">
        <v>470.16172230000001</v>
      </c>
      <c r="E80">
        <v>469.57343959999997</v>
      </c>
    </row>
    <row r="81" spans="2:5" x14ac:dyDescent="0.3">
      <c r="B81">
        <v>466.39833698428072</v>
      </c>
      <c r="C81">
        <v>475.29019208274087</v>
      </c>
      <c r="D81">
        <v>470.01472059999998</v>
      </c>
      <c r="E81">
        <v>469.5693101</v>
      </c>
    </row>
    <row r="82" spans="2:5" x14ac:dyDescent="0.3">
      <c r="B82">
        <v>465.73098660530849</v>
      </c>
      <c r="C82">
        <v>471.88060077710088</v>
      </c>
      <c r="D82">
        <v>470.1224229</v>
      </c>
      <c r="E82">
        <v>469.68097119999999</v>
      </c>
    </row>
    <row r="83" spans="2:5" x14ac:dyDescent="0.3">
      <c r="B83">
        <v>482.25878127464074</v>
      </c>
      <c r="C83">
        <v>457.62838979444683</v>
      </c>
      <c r="D83">
        <v>470.1054603</v>
      </c>
      <c r="E83">
        <v>469.63189060000002</v>
      </c>
    </row>
    <row r="84" spans="2:5" x14ac:dyDescent="0.3">
      <c r="B84">
        <v>474.95714488024748</v>
      </c>
      <c r="C84">
        <v>482.50330668484571</v>
      </c>
      <c r="D84">
        <v>470.14375639999997</v>
      </c>
      <c r="E84">
        <v>469.658996</v>
      </c>
    </row>
    <row r="85" spans="2:5" x14ac:dyDescent="0.3">
      <c r="B85">
        <v>464.10426342204261</v>
      </c>
      <c r="C85">
        <v>473.81388582849388</v>
      </c>
      <c r="D85">
        <v>470.14830000000001</v>
      </c>
      <c r="E85">
        <v>469.68359989999999</v>
      </c>
    </row>
    <row r="86" spans="2:5" x14ac:dyDescent="0.3">
      <c r="B86">
        <v>480.9168165785195</v>
      </c>
      <c r="C86">
        <v>483.25494038341066</v>
      </c>
      <c r="D86">
        <v>470.29547680000002</v>
      </c>
      <c r="E86">
        <v>469.57703329999998</v>
      </c>
    </row>
    <row r="87" spans="2:5" x14ac:dyDescent="0.3">
      <c r="B87">
        <v>451.10678440840479</v>
      </c>
      <c r="C87">
        <v>475.61473019846358</v>
      </c>
      <c r="D87">
        <v>470.16721489999998</v>
      </c>
      <c r="E87">
        <v>469.5682511</v>
      </c>
    </row>
    <row r="88" spans="2:5" x14ac:dyDescent="0.3">
      <c r="B88">
        <v>465.18325368121987</v>
      </c>
      <c r="C88">
        <v>472.78503047983094</v>
      </c>
      <c r="D88">
        <v>470.06544489999999</v>
      </c>
      <c r="E88">
        <v>469.58417630000002</v>
      </c>
    </row>
    <row r="89" spans="2:5" x14ac:dyDescent="0.3">
      <c r="B89">
        <v>459.14416606222261</v>
      </c>
      <c r="C89">
        <v>462.06376716538489</v>
      </c>
      <c r="D89">
        <v>470.13762020000001</v>
      </c>
      <c r="E89">
        <v>469.57424789999999</v>
      </c>
    </row>
    <row r="90" spans="2:5" x14ac:dyDescent="0.3">
      <c r="B90">
        <v>467.77431781119037</v>
      </c>
      <c r="C90">
        <v>462.84381212115028</v>
      </c>
      <c r="D90">
        <v>469.93869489999997</v>
      </c>
      <c r="E90">
        <v>469.567228</v>
      </c>
    </row>
    <row r="91" spans="2:5" x14ac:dyDescent="0.3">
      <c r="B91">
        <v>474.60343697306962</v>
      </c>
      <c r="C91">
        <v>468.16157393071614</v>
      </c>
      <c r="D91">
        <v>470.13715309999998</v>
      </c>
      <c r="E91">
        <v>469.57476700000001</v>
      </c>
    </row>
    <row r="92" spans="2:5" x14ac:dyDescent="0.3">
      <c r="B92">
        <v>461.08435052462306</v>
      </c>
      <c r="C92">
        <v>466.69197085520324</v>
      </c>
      <c r="D92">
        <v>470.15169939999998</v>
      </c>
      <c r="E92">
        <v>469.54529330000003</v>
      </c>
    </row>
    <row r="93" spans="2:5" x14ac:dyDescent="0.3">
      <c r="B93">
        <v>468.06841281827946</v>
      </c>
      <c r="C93">
        <v>463.66438867423381</v>
      </c>
      <c r="D93">
        <v>470.10238550000003</v>
      </c>
      <c r="E93">
        <v>469.67905239999999</v>
      </c>
    </row>
    <row r="94" spans="2:5" x14ac:dyDescent="0.3">
      <c r="B94">
        <v>461.74539471061905</v>
      </c>
      <c r="C94">
        <v>459.51373905640901</v>
      </c>
      <c r="D94">
        <v>470.08195919999997</v>
      </c>
      <c r="E94">
        <v>469.6012369</v>
      </c>
    </row>
    <row r="95" spans="2:5" x14ac:dyDescent="0.3">
      <c r="B95">
        <v>466.22818995706308</v>
      </c>
      <c r="C95">
        <v>461.47785526649159</v>
      </c>
      <c r="D95">
        <v>470.23730469999998</v>
      </c>
      <c r="E95">
        <v>469.58895910000001</v>
      </c>
    </row>
    <row r="96" spans="2:5" x14ac:dyDescent="0.3">
      <c r="B96">
        <v>466.92999837256156</v>
      </c>
      <c r="C96">
        <v>460.21361323093777</v>
      </c>
      <c r="D96">
        <v>470.14423870000002</v>
      </c>
      <c r="E96">
        <v>469.64617529999998</v>
      </c>
    </row>
    <row r="97" spans="2:5" x14ac:dyDescent="0.3">
      <c r="B97">
        <v>457.81433225992618</v>
      </c>
      <c r="C97">
        <v>465.01048338259596</v>
      </c>
      <c r="D97">
        <v>470.12377190000001</v>
      </c>
      <c r="E97">
        <v>469.58574729999998</v>
      </c>
    </row>
    <row r="98" spans="2:5" x14ac:dyDescent="0.3">
      <c r="B98">
        <v>470.36210764783868</v>
      </c>
      <c r="C98">
        <v>470.35174181989322</v>
      </c>
      <c r="D98">
        <v>470.19054890000001</v>
      </c>
      <c r="E98">
        <v>469.63831770000002</v>
      </c>
    </row>
    <row r="99" spans="2:5" x14ac:dyDescent="0.3">
      <c r="B99">
        <v>483.27910530808839</v>
      </c>
      <c r="C99">
        <v>472.34777601305962</v>
      </c>
      <c r="D99">
        <v>470.19829279999999</v>
      </c>
      <c r="E99">
        <v>469.52364870000002</v>
      </c>
    </row>
    <row r="100" spans="2:5" x14ac:dyDescent="0.3">
      <c r="B100">
        <v>467.87610236040683</v>
      </c>
      <c r="C100">
        <v>471.51700060257082</v>
      </c>
      <c r="D100">
        <v>470.09945590000001</v>
      </c>
      <c r="E100">
        <v>469.65396090000002</v>
      </c>
    </row>
    <row r="101" spans="2:5" x14ac:dyDescent="0.3">
      <c r="B101">
        <v>469.96271128875702</v>
      </c>
      <c r="C101">
        <v>464.3742714342726</v>
      </c>
      <c r="D101">
        <v>470.09827460000002</v>
      </c>
      <c r="E101">
        <v>469.53957659999998</v>
      </c>
    </row>
    <row r="102" spans="2:5" x14ac:dyDescent="0.3">
      <c r="B102">
        <v>477.34677067735913</v>
      </c>
      <c r="C102">
        <v>483.90291492163419</v>
      </c>
      <c r="D102">
        <v>470.22252220000001</v>
      </c>
      <c r="E102">
        <v>469.65589410000001</v>
      </c>
    </row>
    <row r="103" spans="2:5" x14ac:dyDescent="0.3">
      <c r="B103">
        <v>469.74746432514547</v>
      </c>
      <c r="C103">
        <v>477.01248318120912</v>
      </c>
      <c r="D103">
        <v>470.13442789999999</v>
      </c>
      <c r="E103">
        <v>469.64461619999997</v>
      </c>
    </row>
    <row r="104" spans="2:5" x14ac:dyDescent="0.3">
      <c r="B104">
        <v>482.40983739800555</v>
      </c>
      <c r="C104">
        <v>486.6629390140663</v>
      </c>
      <c r="D104">
        <v>470.22225279999998</v>
      </c>
      <c r="E104">
        <v>469.69244730000003</v>
      </c>
    </row>
    <row r="105" spans="2:5" x14ac:dyDescent="0.3">
      <c r="B105">
        <v>469.98440664479483</v>
      </c>
      <c r="C105">
        <v>482.81461920355093</v>
      </c>
      <c r="D105">
        <v>470.17036960000001</v>
      </c>
      <c r="E105">
        <v>469.68951120000003</v>
      </c>
    </row>
    <row r="106" spans="2:5" x14ac:dyDescent="0.3">
      <c r="B106">
        <v>463.52398760049863</v>
      </c>
      <c r="C106">
        <v>473.86856879004739</v>
      </c>
      <c r="D106">
        <v>470.12191309999997</v>
      </c>
      <c r="E106">
        <v>469.6307822</v>
      </c>
    </row>
    <row r="107" spans="2:5" x14ac:dyDescent="0.3">
      <c r="B107">
        <v>465.56063347648666</v>
      </c>
      <c r="C107">
        <v>469.37236132559605</v>
      </c>
      <c r="D107">
        <v>470.1445162</v>
      </c>
      <c r="E107">
        <v>469.5890996</v>
      </c>
    </row>
    <row r="108" spans="2:5" x14ac:dyDescent="0.3">
      <c r="B108">
        <v>465.55389402194987</v>
      </c>
      <c r="C108">
        <v>466.2943543683586</v>
      </c>
      <c r="D108">
        <v>470.22085980000003</v>
      </c>
      <c r="E108">
        <v>469.71961040000002</v>
      </c>
    </row>
    <row r="109" spans="2:5" x14ac:dyDescent="0.3">
      <c r="B109">
        <v>462.84457041467533</v>
      </c>
      <c r="C109">
        <v>464.75550119344354</v>
      </c>
      <c r="D109">
        <v>469.90180190000001</v>
      </c>
      <c r="E109">
        <v>469.50161009999999</v>
      </c>
    </row>
    <row r="110" spans="2:5" x14ac:dyDescent="0.3">
      <c r="B110">
        <v>455.86310341839618</v>
      </c>
      <c r="C110">
        <v>474.23098486849847</v>
      </c>
      <c r="D110">
        <v>470.00142729999999</v>
      </c>
      <c r="E110">
        <v>469.73826029999998</v>
      </c>
    </row>
    <row r="111" spans="2:5" x14ac:dyDescent="0.3">
      <c r="B111">
        <v>460.34562986757521</v>
      </c>
      <c r="C111">
        <v>475.84715578029625</v>
      </c>
      <c r="D111">
        <v>470.16107599999998</v>
      </c>
      <c r="E111">
        <v>469.62088649999998</v>
      </c>
    </row>
    <row r="112" spans="2:5" x14ac:dyDescent="0.3">
      <c r="B112">
        <v>477.89645341648583</v>
      </c>
      <c r="C112">
        <v>465.44257079443071</v>
      </c>
      <c r="D112">
        <v>470.16012210000002</v>
      </c>
      <c r="E112">
        <v>469.65486650000003</v>
      </c>
    </row>
    <row r="113" spans="2:5" x14ac:dyDescent="0.3">
      <c r="B113">
        <v>466.35588124320179</v>
      </c>
      <c r="C113">
        <v>471.90850521545747</v>
      </c>
      <c r="D113">
        <v>470.33591360000003</v>
      </c>
      <c r="E113">
        <v>469.74210349999998</v>
      </c>
    </row>
    <row r="114" spans="2:5" x14ac:dyDescent="0.3">
      <c r="B114">
        <v>466.9244948435105</v>
      </c>
      <c r="C114">
        <v>460.56771379077787</v>
      </c>
      <c r="D114">
        <v>470.21168790000002</v>
      </c>
      <c r="E114">
        <v>469.6202007</v>
      </c>
    </row>
    <row r="115" spans="2:5" x14ac:dyDescent="0.3">
      <c r="B115">
        <v>461.10460080227921</v>
      </c>
      <c r="C115">
        <v>465.37176590766211</v>
      </c>
      <c r="D115">
        <v>470.08378479999999</v>
      </c>
      <c r="E115">
        <v>469.65885969999999</v>
      </c>
    </row>
    <row r="116" spans="2:5" x14ac:dyDescent="0.3">
      <c r="B116">
        <v>466.36423766172436</v>
      </c>
      <c r="C116">
        <v>467.34366789675147</v>
      </c>
      <c r="D116">
        <v>470.11763980000001</v>
      </c>
      <c r="E116">
        <v>469.68272689999998</v>
      </c>
    </row>
    <row r="117" spans="2:5" x14ac:dyDescent="0.3">
      <c r="B117">
        <v>460.16869087312813</v>
      </c>
      <c r="C117">
        <v>465.68859001516961</v>
      </c>
      <c r="D117">
        <v>470.2232333</v>
      </c>
      <c r="E117">
        <v>469.68689089999998</v>
      </c>
    </row>
    <row r="118" spans="2:5" x14ac:dyDescent="0.3">
      <c r="B118">
        <v>478.17946233503517</v>
      </c>
      <c r="C118">
        <v>464.85469765104767</v>
      </c>
      <c r="D118">
        <v>470.06474939999998</v>
      </c>
      <c r="E118">
        <v>469.69593659999998</v>
      </c>
    </row>
    <row r="119" spans="2:5" x14ac:dyDescent="0.3">
      <c r="B119">
        <v>464.7633626963879</v>
      </c>
      <c r="C119">
        <v>472.71125055554558</v>
      </c>
      <c r="D119">
        <v>470.17018619999999</v>
      </c>
      <c r="E119">
        <v>469.71323819999998</v>
      </c>
    </row>
    <row r="120" spans="2:5" x14ac:dyDescent="0.3">
      <c r="B120">
        <v>454.18746576621101</v>
      </c>
      <c r="C120">
        <v>475.02029472818441</v>
      </c>
      <c r="D120">
        <v>470.1699893</v>
      </c>
      <c r="E120">
        <v>469.53800810000001</v>
      </c>
    </row>
    <row r="121" spans="2:5" x14ac:dyDescent="0.3">
      <c r="B121">
        <v>478.38219912707075</v>
      </c>
      <c r="C121">
        <v>463.43728175019868</v>
      </c>
      <c r="D121">
        <v>470.21641629999999</v>
      </c>
      <c r="E121">
        <v>469.525195</v>
      </c>
    </row>
    <row r="122" spans="2:5" x14ac:dyDescent="0.3">
      <c r="B122">
        <v>448.07180870826608</v>
      </c>
      <c r="C122">
        <v>472.60465945172552</v>
      </c>
      <c r="D122">
        <v>470.02524510000001</v>
      </c>
      <c r="E122">
        <v>469.68559299999998</v>
      </c>
    </row>
    <row r="123" spans="2:5" x14ac:dyDescent="0.3">
      <c r="B123">
        <v>461.17242731747973</v>
      </c>
      <c r="C123">
        <v>468.42117416898105</v>
      </c>
      <c r="D123">
        <v>469.9304535</v>
      </c>
      <c r="E123">
        <v>469.66822830000001</v>
      </c>
    </row>
    <row r="124" spans="2:5" x14ac:dyDescent="0.3">
      <c r="B124">
        <v>460.94890818522458</v>
      </c>
      <c r="C124">
        <v>461.66147914872414</v>
      </c>
      <c r="D124">
        <v>470.04892289999998</v>
      </c>
      <c r="E124">
        <v>469.60574329999997</v>
      </c>
    </row>
    <row r="125" spans="2:5" x14ac:dyDescent="0.3">
      <c r="B125">
        <v>455.07743613831707</v>
      </c>
      <c r="C125">
        <v>459.53879543706415</v>
      </c>
      <c r="D125">
        <v>470.12501700000001</v>
      </c>
      <c r="E125">
        <v>469.73018560000003</v>
      </c>
    </row>
    <row r="126" spans="2:5" x14ac:dyDescent="0.3">
      <c r="B126">
        <v>463.00732358012681</v>
      </c>
      <c r="C126">
        <v>462.26102945297436</v>
      </c>
      <c r="D126">
        <v>470.07901520000001</v>
      </c>
      <c r="E126">
        <v>469.6226466</v>
      </c>
    </row>
    <row r="127" spans="2:5" x14ac:dyDescent="0.3">
      <c r="B127">
        <v>456.78800586786912</v>
      </c>
      <c r="C127">
        <v>468.53339843317519</v>
      </c>
      <c r="D127">
        <v>470.25691110000002</v>
      </c>
      <c r="E127">
        <v>469.62246870000001</v>
      </c>
    </row>
    <row r="128" spans="2:5" x14ac:dyDescent="0.3">
      <c r="B128">
        <v>457.82363387516699</v>
      </c>
      <c r="C128">
        <v>469.5876813076539</v>
      </c>
      <c r="D128">
        <v>470.15178520000001</v>
      </c>
      <c r="E128">
        <v>469.64876670000001</v>
      </c>
    </row>
    <row r="129" spans="2:5" x14ac:dyDescent="0.3">
      <c r="B129">
        <v>468.10588195042885</v>
      </c>
      <c r="C129">
        <v>470.29143903022083</v>
      </c>
      <c r="D129">
        <v>470.00041779999998</v>
      </c>
      <c r="E129">
        <v>469.52098330000001</v>
      </c>
    </row>
    <row r="130" spans="2:5" x14ac:dyDescent="0.3">
      <c r="B130">
        <v>481.31315233034201</v>
      </c>
      <c r="C130">
        <v>465.78729133768576</v>
      </c>
      <c r="D130">
        <v>470.1943412</v>
      </c>
      <c r="E130">
        <v>469.67114350000003</v>
      </c>
    </row>
    <row r="131" spans="2:5" x14ac:dyDescent="0.3">
      <c r="B131">
        <v>463.00394088169207</v>
      </c>
      <c r="C131">
        <v>468.04859080977531</v>
      </c>
      <c r="D131">
        <v>470.18684180000002</v>
      </c>
      <c r="E131">
        <v>469.63012700000002</v>
      </c>
    </row>
    <row r="132" spans="2:5" x14ac:dyDescent="0.3">
      <c r="B132">
        <v>471.16692574030287</v>
      </c>
      <c r="C132">
        <v>459.15232229090668</v>
      </c>
      <c r="D132">
        <v>470.17798299999998</v>
      </c>
      <c r="E132">
        <v>469.71678580000003</v>
      </c>
    </row>
    <row r="133" spans="2:5" x14ac:dyDescent="0.3">
      <c r="B133">
        <v>460.09241106714938</v>
      </c>
      <c r="C133">
        <v>472.17946455201303</v>
      </c>
      <c r="D133">
        <v>470.11620099999999</v>
      </c>
      <c r="E133">
        <v>469.6263841</v>
      </c>
    </row>
    <row r="134" spans="2:5" x14ac:dyDescent="0.3">
      <c r="B134">
        <v>456.9458700742876</v>
      </c>
      <c r="C134">
        <v>466.2814951698208</v>
      </c>
      <c r="D134">
        <v>470.14375109999997</v>
      </c>
      <c r="E134">
        <v>469.5581669</v>
      </c>
    </row>
    <row r="135" spans="2:5" x14ac:dyDescent="0.3">
      <c r="B135">
        <v>472.47195772907401</v>
      </c>
      <c r="C135">
        <v>459.32597997722507</v>
      </c>
      <c r="D135">
        <v>470.08530480000002</v>
      </c>
      <c r="E135">
        <v>469.57222689999998</v>
      </c>
    </row>
    <row r="136" spans="2:5" x14ac:dyDescent="0.3">
      <c r="B136">
        <v>448.45453519686697</v>
      </c>
      <c r="C136">
        <v>469.06968941783981</v>
      </c>
      <c r="D136">
        <v>470.20351690000001</v>
      </c>
      <c r="E136">
        <v>469.67036080000003</v>
      </c>
    </row>
    <row r="137" spans="2:5" x14ac:dyDescent="0.3">
      <c r="B137">
        <v>465.11347507125316</v>
      </c>
      <c r="C137">
        <v>462.75906599307825</v>
      </c>
      <c r="D137">
        <v>470.21425959999999</v>
      </c>
      <c r="E137">
        <v>469.62919840000001</v>
      </c>
    </row>
    <row r="138" spans="2:5" x14ac:dyDescent="0.3">
      <c r="B138">
        <v>474.0937155913108</v>
      </c>
      <c r="C138">
        <v>482.75431223322948</v>
      </c>
      <c r="D138">
        <v>470.07882119999999</v>
      </c>
      <c r="E138">
        <v>469.648595</v>
      </c>
    </row>
    <row r="139" spans="2:5" x14ac:dyDescent="0.3">
      <c r="B139">
        <v>460.13425508398996</v>
      </c>
      <c r="C139">
        <v>469.54567667659643</v>
      </c>
      <c r="D139">
        <v>470.17220550000002</v>
      </c>
      <c r="E139">
        <v>469.68453</v>
      </c>
    </row>
    <row r="140" spans="2:5" x14ac:dyDescent="0.3">
      <c r="B140">
        <v>468.51720182358639</v>
      </c>
      <c r="C140">
        <v>465.0364405802066</v>
      </c>
      <c r="D140">
        <v>470.1776193</v>
      </c>
      <c r="E140">
        <v>469.57986249999999</v>
      </c>
    </row>
    <row r="141" spans="2:5" x14ac:dyDescent="0.3">
      <c r="B141">
        <v>458.85729179174604</v>
      </c>
      <c r="C141">
        <v>464.90125983719133</v>
      </c>
      <c r="D141">
        <v>470.16161110000002</v>
      </c>
      <c r="E141">
        <v>469.56576819999998</v>
      </c>
    </row>
    <row r="142" spans="2:5" x14ac:dyDescent="0.3">
      <c r="B142">
        <v>454.04356734138719</v>
      </c>
      <c r="C142">
        <v>466.41374121146077</v>
      </c>
      <c r="D142">
        <v>470.17324789999998</v>
      </c>
      <c r="E142">
        <v>469.65108199999997</v>
      </c>
    </row>
    <row r="143" spans="2:5" x14ac:dyDescent="0.3">
      <c r="B143">
        <v>473.92366772381905</v>
      </c>
      <c r="C143">
        <v>478.67606667107316</v>
      </c>
      <c r="D143">
        <v>469.92045180000002</v>
      </c>
      <c r="E143">
        <v>469.63073159999999</v>
      </c>
    </row>
    <row r="144" spans="2:5" x14ac:dyDescent="0.3">
      <c r="B144">
        <v>469.76820632729351</v>
      </c>
      <c r="C144">
        <v>473.24550711997711</v>
      </c>
      <c r="D144">
        <v>470.11302990000002</v>
      </c>
      <c r="E144">
        <v>469.63648840000002</v>
      </c>
    </row>
    <row r="145" spans="2:5" x14ac:dyDescent="0.3">
      <c r="B145">
        <v>459.52477967611242</v>
      </c>
      <c r="C145">
        <v>472.80931629652736</v>
      </c>
      <c r="D145">
        <v>470.0605521</v>
      </c>
      <c r="E145">
        <v>469.735163</v>
      </c>
    </row>
    <row r="146" spans="2:5" x14ac:dyDescent="0.3">
      <c r="B146">
        <v>455.68290215286976</v>
      </c>
      <c r="C146">
        <v>467.62556950646626</v>
      </c>
      <c r="D146">
        <v>470.11838540000002</v>
      </c>
      <c r="E146">
        <v>469.57924930000001</v>
      </c>
    </row>
    <row r="147" spans="2:5" x14ac:dyDescent="0.3">
      <c r="B147">
        <v>471.75408861641233</v>
      </c>
      <c r="C147">
        <v>469.79246436771723</v>
      </c>
      <c r="D147">
        <v>470.12505529999999</v>
      </c>
      <c r="E147">
        <v>469.56731239999999</v>
      </c>
    </row>
    <row r="148" spans="2:5" x14ac:dyDescent="0.3">
      <c r="B148">
        <v>469.81704260366757</v>
      </c>
      <c r="C148">
        <v>471.29439749520452</v>
      </c>
      <c r="D148">
        <v>470.22764790000002</v>
      </c>
      <c r="E148">
        <v>469.61133969999997</v>
      </c>
    </row>
    <row r="149" spans="2:5" x14ac:dyDescent="0.3">
      <c r="B149">
        <v>470.65745851284646</v>
      </c>
      <c r="C149">
        <v>464.19111915785146</v>
      </c>
      <c r="D149">
        <v>470.2567679</v>
      </c>
      <c r="E149">
        <v>469.67971740000002</v>
      </c>
    </row>
    <row r="150" spans="2:5" x14ac:dyDescent="0.3">
      <c r="B150">
        <v>471.2841675168313</v>
      </c>
      <c r="C150">
        <v>473.27221970569059</v>
      </c>
      <c r="D150">
        <v>470.27236870000002</v>
      </c>
      <c r="E150">
        <v>469.67646559999997</v>
      </c>
    </row>
    <row r="151" spans="2:5" x14ac:dyDescent="0.3">
      <c r="B151">
        <v>467.44987620952656</v>
      </c>
      <c r="C151">
        <v>462.40923830314449</v>
      </c>
      <c r="D151">
        <v>470.22557899999998</v>
      </c>
      <c r="E151">
        <v>469.6355466</v>
      </c>
    </row>
    <row r="152" spans="2:5" x14ac:dyDescent="0.3">
      <c r="B152">
        <v>470.09615873707696</v>
      </c>
      <c r="C152">
        <v>475.81472564144036</v>
      </c>
      <c r="D152">
        <v>470.29258179999999</v>
      </c>
      <c r="E152">
        <v>469.64350860000002</v>
      </c>
    </row>
    <row r="153" spans="2:5" x14ac:dyDescent="0.3">
      <c r="B153">
        <v>468.38760344923725</v>
      </c>
      <c r="C153">
        <v>471.5345165103559</v>
      </c>
      <c r="D153">
        <v>470.09563559999998</v>
      </c>
      <c r="E153">
        <v>469.55356180000001</v>
      </c>
    </row>
    <row r="154" spans="2:5" x14ac:dyDescent="0.3">
      <c r="B154">
        <v>458.18297697988453</v>
      </c>
      <c r="C154">
        <v>466.11429016766749</v>
      </c>
      <c r="D154">
        <v>470.05587159999999</v>
      </c>
      <c r="E154">
        <v>469.67819109999999</v>
      </c>
    </row>
    <row r="155" spans="2:5" x14ac:dyDescent="0.3">
      <c r="B155">
        <v>453.72119087046173</v>
      </c>
      <c r="C155">
        <v>466.39073482700195</v>
      </c>
      <c r="D155">
        <v>470.17021319999998</v>
      </c>
      <c r="E155">
        <v>469.5809994</v>
      </c>
    </row>
    <row r="156" spans="2:5" x14ac:dyDescent="0.3">
      <c r="B156">
        <v>463.3841115042199</v>
      </c>
      <c r="C156">
        <v>460.70805784942979</v>
      </c>
      <c r="D156">
        <v>470.06073029999999</v>
      </c>
      <c r="E156">
        <v>469.58374250000003</v>
      </c>
    </row>
    <row r="157" spans="2:5" x14ac:dyDescent="0.3">
      <c r="B157">
        <v>479.55119672968107</v>
      </c>
      <c r="C157">
        <v>468.3834863509536</v>
      </c>
      <c r="D157">
        <v>470.28085759999999</v>
      </c>
      <c r="E157">
        <v>469.59090250000003</v>
      </c>
    </row>
    <row r="158" spans="2:5" x14ac:dyDescent="0.3">
      <c r="B158">
        <v>478.48380884797677</v>
      </c>
      <c r="C158">
        <v>464.78478218838421</v>
      </c>
      <c r="D158">
        <v>470.24506029999998</v>
      </c>
      <c r="E158">
        <v>469.52680029999999</v>
      </c>
    </row>
    <row r="159" spans="2:5" x14ac:dyDescent="0.3">
      <c r="B159">
        <v>462.21823931835229</v>
      </c>
      <c r="C159">
        <v>454.91956858177252</v>
      </c>
      <c r="D159">
        <v>470.12853619999999</v>
      </c>
      <c r="E159">
        <v>469.63209610000001</v>
      </c>
    </row>
    <row r="160" spans="2:5" x14ac:dyDescent="0.3">
      <c r="B160">
        <v>478.35371521779291</v>
      </c>
      <c r="C160">
        <v>467.48426109712142</v>
      </c>
      <c r="D160">
        <v>470.27780899999999</v>
      </c>
      <c r="E160">
        <v>469.64921279999999</v>
      </c>
    </row>
    <row r="161" spans="2:5" x14ac:dyDescent="0.3">
      <c r="B161">
        <v>470.20422654194681</v>
      </c>
      <c r="C161">
        <v>468.27329296854595</v>
      </c>
      <c r="D161">
        <v>470.06863440000001</v>
      </c>
      <c r="E161">
        <v>469.69375209999998</v>
      </c>
    </row>
    <row r="162" spans="2:5" x14ac:dyDescent="0.3">
      <c r="B162">
        <v>480.58501701921085</v>
      </c>
      <c r="C162">
        <v>468.97857307071331</v>
      </c>
      <c r="D162">
        <v>470.27498559999998</v>
      </c>
      <c r="E162">
        <v>469.53268159999999</v>
      </c>
    </row>
    <row r="163" spans="2:5" x14ac:dyDescent="0.3">
      <c r="B163">
        <v>457.05711978140204</v>
      </c>
      <c r="C163">
        <v>465.57164057504133</v>
      </c>
      <c r="D163">
        <v>470.08423349999998</v>
      </c>
      <c r="E163">
        <v>469.58209679999999</v>
      </c>
    </row>
    <row r="164" spans="2:5" x14ac:dyDescent="0.3">
      <c r="B164">
        <v>465.9769982291474</v>
      </c>
      <c r="C164">
        <v>477.29509749416457</v>
      </c>
      <c r="D164">
        <v>470.0675402</v>
      </c>
      <c r="E164">
        <v>469.66348340000002</v>
      </c>
    </row>
    <row r="165" spans="2:5" x14ac:dyDescent="0.3">
      <c r="B165">
        <v>462.9691217341113</v>
      </c>
      <c r="C165">
        <v>463.33902144927299</v>
      </c>
      <c r="D165">
        <v>470.0876313</v>
      </c>
      <c r="E165">
        <v>469.69014220000003</v>
      </c>
    </row>
    <row r="166" spans="2:5" x14ac:dyDescent="0.3">
      <c r="B166">
        <v>462.43954222916375</v>
      </c>
      <c r="C166">
        <v>462.37617072729654</v>
      </c>
      <c r="D166">
        <v>470.29503849999998</v>
      </c>
      <c r="E166">
        <v>469.57934399999999</v>
      </c>
    </row>
    <row r="167" spans="2:5" x14ac:dyDescent="0.3">
      <c r="B167">
        <v>460.11154115774838</v>
      </c>
      <c r="C167">
        <v>470.57943099277622</v>
      </c>
      <c r="D167">
        <v>470.20668319999999</v>
      </c>
      <c r="E167">
        <v>469.65802300000001</v>
      </c>
    </row>
    <row r="168" spans="2:5" x14ac:dyDescent="0.3">
      <c r="B168">
        <v>468.58130639409092</v>
      </c>
      <c r="C168">
        <v>470.48795233588612</v>
      </c>
      <c r="D168">
        <v>469.9716937</v>
      </c>
      <c r="E168">
        <v>469.68061710000001</v>
      </c>
    </row>
    <row r="169" spans="2:5" x14ac:dyDescent="0.3">
      <c r="B169">
        <v>469.55391561054194</v>
      </c>
      <c r="C169">
        <v>466.2791828303134</v>
      </c>
      <c r="D169">
        <v>470.18692349999998</v>
      </c>
      <c r="E169">
        <v>469.58557409999997</v>
      </c>
    </row>
    <row r="170" spans="2:5" x14ac:dyDescent="0.3">
      <c r="B170">
        <v>490.84780644854334</v>
      </c>
      <c r="C170">
        <v>471.3298568828107</v>
      </c>
      <c r="D170">
        <v>470.19132020000001</v>
      </c>
      <c r="E170">
        <v>469.57708459999998</v>
      </c>
    </row>
    <row r="171" spans="2:5" x14ac:dyDescent="0.3">
      <c r="B171">
        <v>479.76176010019236</v>
      </c>
      <c r="C171">
        <v>474.09534727113112</v>
      </c>
      <c r="D171">
        <v>470.19889920000003</v>
      </c>
      <c r="E171">
        <v>469.75592669999997</v>
      </c>
    </row>
    <row r="172" spans="2:5" x14ac:dyDescent="0.3">
      <c r="B172">
        <v>466.14340800613337</v>
      </c>
      <c r="C172">
        <v>459.79503482695463</v>
      </c>
      <c r="D172">
        <v>470.02520349999998</v>
      </c>
      <c r="E172">
        <v>469.71630279999999</v>
      </c>
    </row>
    <row r="173" spans="2:5" x14ac:dyDescent="0.3">
      <c r="B173">
        <v>469.91957982176626</v>
      </c>
      <c r="C173">
        <v>468.47591808677976</v>
      </c>
      <c r="D173">
        <v>470.24711830000001</v>
      </c>
      <c r="E173">
        <v>469.66188849999998</v>
      </c>
    </row>
    <row r="174" spans="2:5" x14ac:dyDescent="0.3">
      <c r="B174">
        <v>457.86847752897393</v>
      </c>
      <c r="C174">
        <v>458.69409723258946</v>
      </c>
      <c r="D174">
        <v>470.06853969999997</v>
      </c>
      <c r="E174">
        <v>469.7297284</v>
      </c>
    </row>
    <row r="175" spans="2:5" x14ac:dyDescent="0.3">
      <c r="B175">
        <v>470.47195633095055</v>
      </c>
      <c r="C175">
        <v>464.38995331579196</v>
      </c>
      <c r="D175">
        <v>470.10467119999998</v>
      </c>
      <c r="E175">
        <v>469.7029071</v>
      </c>
    </row>
    <row r="176" spans="2:5" x14ac:dyDescent="0.3">
      <c r="B176">
        <v>465.68225854516714</v>
      </c>
      <c r="C176">
        <v>464.50797668796099</v>
      </c>
      <c r="D176">
        <v>470.22561439999998</v>
      </c>
      <c r="E176">
        <v>469.6278921</v>
      </c>
    </row>
    <row r="177" spans="2:5" x14ac:dyDescent="0.3">
      <c r="B177">
        <v>477.90385852592061</v>
      </c>
      <c r="C177">
        <v>461.15727659092119</v>
      </c>
      <c r="D177">
        <v>470.12475210000002</v>
      </c>
      <c r="E177">
        <v>469.73038700000001</v>
      </c>
    </row>
    <row r="178" spans="2:5" x14ac:dyDescent="0.3">
      <c r="B178">
        <v>456.30947996239814</v>
      </c>
      <c r="C178">
        <v>462.0159469236832</v>
      </c>
      <c r="D178">
        <v>470.14110030000001</v>
      </c>
      <c r="E178">
        <v>469.55816349999998</v>
      </c>
    </row>
    <row r="179" spans="2:5" x14ac:dyDescent="0.3">
      <c r="B179">
        <v>465.89907201182456</v>
      </c>
      <c r="C179">
        <v>465.02116033988852</v>
      </c>
      <c r="D179">
        <v>470.15448029999999</v>
      </c>
      <c r="E179">
        <v>469.64099520000002</v>
      </c>
    </row>
    <row r="180" spans="2:5" x14ac:dyDescent="0.3">
      <c r="B180">
        <v>470.41727107296509</v>
      </c>
      <c r="C180">
        <v>470.21241334971268</v>
      </c>
      <c r="D180">
        <v>470.01540010000002</v>
      </c>
      <c r="E180">
        <v>469.70052179999999</v>
      </c>
    </row>
    <row r="181" spans="2:5" x14ac:dyDescent="0.3">
      <c r="B181">
        <v>463.56776778367765</v>
      </c>
      <c r="C181">
        <v>470.24095160894251</v>
      </c>
      <c r="D181">
        <v>470.12234519999998</v>
      </c>
      <c r="E181">
        <v>469.61359190000002</v>
      </c>
    </row>
    <row r="182" spans="2:5" x14ac:dyDescent="0.3">
      <c r="B182">
        <v>472.68929810758914</v>
      </c>
      <c r="C182">
        <v>469.83504438229073</v>
      </c>
      <c r="D182">
        <v>470.07179400000001</v>
      </c>
      <c r="E182">
        <v>469.58121979999999</v>
      </c>
    </row>
    <row r="183" spans="2:5" x14ac:dyDescent="0.3">
      <c r="B183">
        <v>468.84162608546984</v>
      </c>
      <c r="C183">
        <v>474.84840366038054</v>
      </c>
      <c r="D183">
        <v>470.24133399999999</v>
      </c>
      <c r="E183">
        <v>469.64442300000002</v>
      </c>
    </row>
    <row r="184" spans="2:5" x14ac:dyDescent="0.3">
      <c r="B184">
        <v>452.2226430506484</v>
      </c>
      <c r="C184">
        <v>463.175275992612</v>
      </c>
      <c r="D184">
        <v>470.0967923</v>
      </c>
      <c r="E184">
        <v>469.54726829999998</v>
      </c>
    </row>
    <row r="185" spans="2:5" x14ac:dyDescent="0.3">
      <c r="B185">
        <v>456.50940386644697</v>
      </c>
      <c r="C185">
        <v>470.36341214778702</v>
      </c>
      <c r="D185">
        <v>470.24809729999998</v>
      </c>
      <c r="E185">
        <v>469.63437449999998</v>
      </c>
    </row>
    <row r="186" spans="2:5" x14ac:dyDescent="0.3">
      <c r="B186">
        <v>459.88324027386392</v>
      </c>
      <c r="C186">
        <v>458.94164291447601</v>
      </c>
      <c r="D186">
        <v>470.15125269999999</v>
      </c>
      <c r="E186">
        <v>469.692453</v>
      </c>
    </row>
    <row r="187" spans="2:5" x14ac:dyDescent="0.3">
      <c r="B187">
        <v>458.24445105406687</v>
      </c>
      <c r="C187">
        <v>479.31369044833332</v>
      </c>
      <c r="D187">
        <v>470.2154443</v>
      </c>
      <c r="E187">
        <v>469.54493280000003</v>
      </c>
    </row>
    <row r="188" spans="2:5" x14ac:dyDescent="0.3">
      <c r="B188">
        <v>471.32583322430486</v>
      </c>
      <c r="C188">
        <v>463.49340587218148</v>
      </c>
      <c r="D188">
        <v>470.12345859999999</v>
      </c>
      <c r="E188">
        <v>469.55658670000003</v>
      </c>
    </row>
    <row r="189" spans="2:5" x14ac:dyDescent="0.3">
      <c r="B189">
        <v>456.11693030087122</v>
      </c>
      <c r="C189">
        <v>473.61630898578682</v>
      </c>
      <c r="D189">
        <v>470.08471500000002</v>
      </c>
      <c r="E189">
        <v>469.52166460000001</v>
      </c>
    </row>
    <row r="190" spans="2:5" x14ac:dyDescent="0.3">
      <c r="B190">
        <v>449.41983058564432</v>
      </c>
      <c r="C190">
        <v>463.83435098714318</v>
      </c>
      <c r="D190">
        <v>470.17350340000002</v>
      </c>
      <c r="E190">
        <v>469.60702429999998</v>
      </c>
    </row>
    <row r="191" spans="2:5" x14ac:dyDescent="0.3">
      <c r="B191">
        <v>466.64556423359511</v>
      </c>
      <c r="C191">
        <v>466.5806909375612</v>
      </c>
      <c r="D191">
        <v>470.1671905</v>
      </c>
      <c r="E191">
        <v>469.67166600000002</v>
      </c>
    </row>
    <row r="192" spans="2:5" x14ac:dyDescent="0.3">
      <c r="B192">
        <v>460.13363080801486</v>
      </c>
      <c r="C192">
        <v>477.75520044574642</v>
      </c>
      <c r="D192">
        <v>470.22216159999999</v>
      </c>
      <c r="E192">
        <v>469.54899740000002</v>
      </c>
    </row>
    <row r="193" spans="2:5" x14ac:dyDescent="0.3">
      <c r="B193">
        <v>472.82679352515879</v>
      </c>
      <c r="C193">
        <v>468.49347719960167</v>
      </c>
      <c r="D193">
        <v>470.15964709999997</v>
      </c>
      <c r="E193">
        <v>469.61237699999998</v>
      </c>
    </row>
    <row r="194" spans="2:5" x14ac:dyDescent="0.3">
      <c r="B194">
        <v>477.50214906537536</v>
      </c>
      <c r="C194">
        <v>468.62200064979169</v>
      </c>
      <c r="D194">
        <v>470.16294390000002</v>
      </c>
      <c r="E194">
        <v>469.59352669999998</v>
      </c>
    </row>
    <row r="195" spans="2:5" x14ac:dyDescent="0.3">
      <c r="B195">
        <v>459.99189729519514</v>
      </c>
      <c r="C195">
        <v>460.92374008256655</v>
      </c>
      <c r="D195">
        <v>470.03209670000001</v>
      </c>
      <c r="E195">
        <v>469.6081279</v>
      </c>
    </row>
    <row r="196" spans="2:5" x14ac:dyDescent="0.3">
      <c r="B196">
        <v>459.86729423153741</v>
      </c>
      <c r="C196">
        <v>455.64003331598167</v>
      </c>
      <c r="D196">
        <v>469.92394580000001</v>
      </c>
      <c r="E196">
        <v>469.58674280000002</v>
      </c>
    </row>
    <row r="197" spans="2:5" x14ac:dyDescent="0.3">
      <c r="B197">
        <v>465.81417882649862</v>
      </c>
      <c r="C197">
        <v>477.90301382658873</v>
      </c>
      <c r="D197">
        <v>470.08149950000001</v>
      </c>
      <c r="E197">
        <v>469.62165979999997</v>
      </c>
    </row>
    <row r="198" spans="2:5" x14ac:dyDescent="0.3">
      <c r="B198">
        <v>481.2443016206509</v>
      </c>
      <c r="C198">
        <v>465.57398552637488</v>
      </c>
      <c r="D198">
        <v>470.00335539999998</v>
      </c>
      <c r="E198">
        <v>469.57545160000001</v>
      </c>
    </row>
    <row r="199" spans="2:5" x14ac:dyDescent="0.3">
      <c r="B199">
        <v>458.19957629085604</v>
      </c>
      <c r="C199">
        <v>464.10145777967705</v>
      </c>
      <c r="D199">
        <v>470.06011419999999</v>
      </c>
      <c r="E199">
        <v>469.7574262</v>
      </c>
    </row>
    <row r="200" spans="2:5" x14ac:dyDescent="0.3">
      <c r="B200">
        <v>470.71128694445792</v>
      </c>
      <c r="C200">
        <v>468.87888641643764</v>
      </c>
      <c r="D200">
        <v>470.31728600000002</v>
      </c>
      <c r="E200">
        <v>469.64132530000001</v>
      </c>
    </row>
    <row r="201" spans="2:5" x14ac:dyDescent="0.3">
      <c r="B201">
        <v>462.47307507464933</v>
      </c>
      <c r="C201">
        <v>464.4135875265107</v>
      </c>
      <c r="D201">
        <v>470.31126819999997</v>
      </c>
      <c r="E201">
        <v>469.60807599999998</v>
      </c>
    </row>
    <row r="202" spans="2:5" x14ac:dyDescent="0.3">
      <c r="B202">
        <v>470.71804698022515</v>
      </c>
      <c r="C202">
        <v>472.64568812390382</v>
      </c>
      <c r="D202">
        <v>470.0418368</v>
      </c>
      <c r="E202">
        <v>469.6458983</v>
      </c>
    </row>
    <row r="203" spans="2:5" x14ac:dyDescent="0.3">
      <c r="B203">
        <v>480.8229890092839</v>
      </c>
      <c r="C203">
        <v>473.55198632732663</v>
      </c>
      <c r="D203">
        <v>470.13234510000001</v>
      </c>
      <c r="E203">
        <v>469.56264700000003</v>
      </c>
    </row>
    <row r="204" spans="2:5" x14ac:dyDescent="0.3">
      <c r="B204">
        <v>474.25056390502897</v>
      </c>
      <c r="C204">
        <v>461.85231836788739</v>
      </c>
      <c r="D204">
        <v>470.32653479999999</v>
      </c>
      <c r="E204">
        <v>469.59536639999999</v>
      </c>
    </row>
    <row r="205" spans="2:5" x14ac:dyDescent="0.3">
      <c r="B205">
        <v>448.56629147033175</v>
      </c>
      <c r="C205">
        <v>469.40788603723848</v>
      </c>
      <c r="D205">
        <v>470.15120910000002</v>
      </c>
      <c r="E205">
        <v>469.64396729999999</v>
      </c>
    </row>
    <row r="206" spans="2:5" x14ac:dyDescent="0.3">
      <c r="B206">
        <v>460.04937654476271</v>
      </c>
      <c r="C206">
        <v>475.23466320769796</v>
      </c>
      <c r="D206">
        <v>470.1150993</v>
      </c>
      <c r="E206">
        <v>469.56335230000002</v>
      </c>
    </row>
    <row r="207" spans="2:5" x14ac:dyDescent="0.3">
      <c r="B207">
        <v>472.53674859836912</v>
      </c>
      <c r="C207">
        <v>463.62574465764283</v>
      </c>
      <c r="D207">
        <v>470.3660711</v>
      </c>
      <c r="E207">
        <v>469.51441299999999</v>
      </c>
    </row>
    <row r="208" spans="2:5" x14ac:dyDescent="0.3">
      <c r="B208">
        <v>469.3029728554161</v>
      </c>
      <c r="C208">
        <v>467.77549780586048</v>
      </c>
      <c r="D208">
        <v>470.15795379999997</v>
      </c>
      <c r="E208">
        <v>469.56004660000002</v>
      </c>
    </row>
    <row r="209" spans="2:5" x14ac:dyDescent="0.3">
      <c r="B209">
        <v>453.55232490463175</v>
      </c>
      <c r="C209">
        <v>460.40453067124929</v>
      </c>
      <c r="D209">
        <v>470.03554350000002</v>
      </c>
      <c r="E209">
        <v>469.68982590000002</v>
      </c>
    </row>
    <row r="210" spans="2:5" x14ac:dyDescent="0.3">
      <c r="B210">
        <v>458.11211494207583</v>
      </c>
      <c r="C210">
        <v>467.93426411218968</v>
      </c>
      <c r="D210">
        <v>470.12904300000002</v>
      </c>
      <c r="E210">
        <v>469.53887850000001</v>
      </c>
    </row>
    <row r="211" spans="2:5" x14ac:dyDescent="0.3">
      <c r="B211">
        <v>445.90109684935931</v>
      </c>
      <c r="C211">
        <v>470.05343494313138</v>
      </c>
      <c r="D211">
        <v>470.2934492</v>
      </c>
      <c r="E211">
        <v>469.6764235</v>
      </c>
    </row>
    <row r="212" spans="2:5" x14ac:dyDescent="0.3">
      <c r="B212">
        <v>460.91506878097039</v>
      </c>
      <c r="C212">
        <v>469.33619106895196</v>
      </c>
      <c r="D212">
        <v>470.15816180000002</v>
      </c>
      <c r="E212">
        <v>469.68662280000001</v>
      </c>
    </row>
    <row r="213" spans="2:5" x14ac:dyDescent="0.3">
      <c r="B213">
        <v>466.75647395063345</v>
      </c>
      <c r="C213">
        <v>462.65612734671328</v>
      </c>
      <c r="D213">
        <v>470.19344919999998</v>
      </c>
      <c r="E213">
        <v>469.53887420000001</v>
      </c>
    </row>
    <row r="214" spans="2:5" x14ac:dyDescent="0.3">
      <c r="B214">
        <v>475.98448258143117</v>
      </c>
      <c r="C214">
        <v>476.52719020305818</v>
      </c>
      <c r="D214">
        <v>470.05685670000003</v>
      </c>
      <c r="E214">
        <v>469.6514904</v>
      </c>
    </row>
    <row r="215" spans="2:5" x14ac:dyDescent="0.3">
      <c r="B215">
        <v>465.34371107547275</v>
      </c>
      <c r="C215">
        <v>467.05977940444978</v>
      </c>
      <c r="D215">
        <v>470.2348561</v>
      </c>
      <c r="E215">
        <v>469.58998889999998</v>
      </c>
    </row>
    <row r="216" spans="2:5" x14ac:dyDescent="0.3">
      <c r="B216">
        <v>455.88334738751655</v>
      </c>
      <c r="C216">
        <v>478.26067846790596</v>
      </c>
      <c r="D216">
        <v>470.20822249999998</v>
      </c>
      <c r="E216">
        <v>469.54090389999999</v>
      </c>
    </row>
    <row r="217" spans="2:5" x14ac:dyDescent="0.3">
      <c r="B217">
        <v>467.89742433431832</v>
      </c>
      <c r="C217">
        <v>475.5945920809603</v>
      </c>
      <c r="D217">
        <v>470.00548259999999</v>
      </c>
      <c r="E217">
        <v>469.57850380000002</v>
      </c>
    </row>
    <row r="218" spans="2:5" x14ac:dyDescent="0.3">
      <c r="B218">
        <v>458.29615980346921</v>
      </c>
      <c r="C218">
        <v>466.35034369479217</v>
      </c>
      <c r="D218">
        <v>470.0240766</v>
      </c>
      <c r="E218">
        <v>469.55442579999999</v>
      </c>
    </row>
    <row r="219" spans="2:5" x14ac:dyDescent="0.3">
      <c r="B219">
        <v>464.10258683944278</v>
      </c>
      <c r="C219">
        <v>469.10206978174938</v>
      </c>
      <c r="D219">
        <v>470.2898998</v>
      </c>
      <c r="E219">
        <v>469.56695530000002</v>
      </c>
    </row>
    <row r="220" spans="2:5" x14ac:dyDescent="0.3">
      <c r="B220">
        <v>473.45760914546327</v>
      </c>
      <c r="C220">
        <v>474.67683521923772</v>
      </c>
      <c r="D220">
        <v>470.20383629999998</v>
      </c>
      <c r="E220">
        <v>469.6470185</v>
      </c>
    </row>
    <row r="221" spans="2:5" x14ac:dyDescent="0.3">
      <c r="B221">
        <v>468.12333312882555</v>
      </c>
      <c r="C221">
        <v>470.10861931189652</v>
      </c>
      <c r="D221">
        <v>470.12143959999997</v>
      </c>
      <c r="E221">
        <v>469.70650840000002</v>
      </c>
    </row>
    <row r="222" spans="2:5" x14ac:dyDescent="0.3">
      <c r="B222">
        <v>466.3755621202576</v>
      </c>
      <c r="C222">
        <v>467.99290569842316</v>
      </c>
      <c r="D222">
        <v>470.20311279999999</v>
      </c>
      <c r="E222">
        <v>469.71393769999997</v>
      </c>
    </row>
    <row r="223" spans="2:5" x14ac:dyDescent="0.3">
      <c r="B223">
        <v>458.9366851406503</v>
      </c>
      <c r="C223">
        <v>457.04803074499443</v>
      </c>
      <c r="D223">
        <v>470.25659159999998</v>
      </c>
      <c r="E223">
        <v>469.68066809999999</v>
      </c>
    </row>
    <row r="224" spans="2:5" x14ac:dyDescent="0.3">
      <c r="B224">
        <v>477.1883620303426</v>
      </c>
      <c r="C224">
        <v>471.51124697595111</v>
      </c>
      <c r="D224">
        <v>470.09057430000001</v>
      </c>
      <c r="E224">
        <v>469.6258302</v>
      </c>
    </row>
    <row r="225" spans="2:5" x14ac:dyDescent="0.3">
      <c r="B225">
        <v>481.95402953112506</v>
      </c>
      <c r="C225">
        <v>468.54323638660412</v>
      </c>
      <c r="D225">
        <v>470.23523990000001</v>
      </c>
      <c r="E225">
        <v>469.55783980000001</v>
      </c>
    </row>
    <row r="226" spans="2:5" x14ac:dyDescent="0.3">
      <c r="B226">
        <v>469.34593096036008</v>
      </c>
      <c r="C226">
        <v>473.04095900488375</v>
      </c>
      <c r="D226">
        <v>470.2244311</v>
      </c>
      <c r="E226">
        <v>469.67821650000002</v>
      </c>
    </row>
    <row r="227" spans="2:5" x14ac:dyDescent="0.3">
      <c r="B227">
        <v>464.09917940677457</v>
      </c>
      <c r="C227">
        <v>467.92979392050546</v>
      </c>
      <c r="D227">
        <v>470.08736060000001</v>
      </c>
      <c r="E227">
        <v>469.60855359999999</v>
      </c>
    </row>
    <row r="228" spans="2:5" x14ac:dyDescent="0.3">
      <c r="B228">
        <v>465.05092884002124</v>
      </c>
      <c r="C228">
        <v>465.42721380135407</v>
      </c>
      <c r="D228">
        <v>470.00407869999998</v>
      </c>
      <c r="E228">
        <v>469.7245977</v>
      </c>
    </row>
    <row r="229" spans="2:5" x14ac:dyDescent="0.3">
      <c r="B229">
        <v>459.5369255653157</v>
      </c>
      <c r="C229">
        <v>469.83081126024086</v>
      </c>
      <c r="D229">
        <v>470.27694739999998</v>
      </c>
      <c r="E229">
        <v>469.69399800000002</v>
      </c>
    </row>
    <row r="230" spans="2:5" x14ac:dyDescent="0.3">
      <c r="B230">
        <v>464.70006141047077</v>
      </c>
      <c r="C230">
        <v>467.96902566049857</v>
      </c>
      <c r="D230">
        <v>470.21607890000001</v>
      </c>
      <c r="E230">
        <v>469.52064369999999</v>
      </c>
    </row>
    <row r="231" spans="2:5" x14ac:dyDescent="0.3">
      <c r="B231">
        <v>470.2808790835798</v>
      </c>
      <c r="C231">
        <v>461.62357357632777</v>
      </c>
      <c r="D231">
        <v>470.0721471</v>
      </c>
      <c r="E231">
        <v>469.67081710000002</v>
      </c>
    </row>
    <row r="232" spans="2:5" x14ac:dyDescent="0.3">
      <c r="B232">
        <v>477.41636722391218</v>
      </c>
      <c r="C232">
        <v>467.29407145476353</v>
      </c>
      <c r="D232">
        <v>470.30048840000001</v>
      </c>
      <c r="E232">
        <v>469.6034267</v>
      </c>
    </row>
    <row r="233" spans="2:5" x14ac:dyDescent="0.3">
      <c r="B233">
        <v>479.35741389054482</v>
      </c>
      <c r="C233">
        <v>459.28951126153021</v>
      </c>
      <c r="D233">
        <v>470.10649330000001</v>
      </c>
      <c r="E233">
        <v>469.64851470000002</v>
      </c>
    </row>
    <row r="234" spans="2:5" x14ac:dyDescent="0.3">
      <c r="B234">
        <v>467.59216014637917</v>
      </c>
      <c r="C234">
        <v>468.95635162872651</v>
      </c>
      <c r="D234">
        <v>470.05045289999998</v>
      </c>
      <c r="E234">
        <v>469.5169277</v>
      </c>
    </row>
    <row r="235" spans="2:5" x14ac:dyDescent="0.3">
      <c r="B235">
        <v>462.5469651646477</v>
      </c>
      <c r="C235">
        <v>460.87019729796367</v>
      </c>
      <c r="D235">
        <v>469.86799880000001</v>
      </c>
      <c r="E235">
        <v>469.60297910000003</v>
      </c>
    </row>
    <row r="236" spans="2:5" x14ac:dyDescent="0.3">
      <c r="B236">
        <v>468.78777422069169</v>
      </c>
      <c r="C236">
        <v>476.6696292924313</v>
      </c>
      <c r="D236">
        <v>470.16258299999998</v>
      </c>
      <c r="E236">
        <v>469.65829070000001</v>
      </c>
    </row>
    <row r="237" spans="2:5" x14ac:dyDescent="0.3">
      <c r="B237">
        <v>456.65282077415696</v>
      </c>
      <c r="C237">
        <v>468.43867868453907</v>
      </c>
      <c r="D237">
        <v>470.24170500000002</v>
      </c>
      <c r="E237">
        <v>469.72360040000001</v>
      </c>
    </row>
    <row r="238" spans="2:5" x14ac:dyDescent="0.3">
      <c r="B238">
        <v>447.4974572751342</v>
      </c>
      <c r="C238">
        <v>460.90209596615017</v>
      </c>
      <c r="D238">
        <v>470.1071402</v>
      </c>
      <c r="E238">
        <v>469.67268990000002</v>
      </c>
    </row>
    <row r="239" spans="2:5" x14ac:dyDescent="0.3">
      <c r="B239">
        <v>469.75731699948602</v>
      </c>
      <c r="C239">
        <v>470.64142960763746</v>
      </c>
      <c r="D239">
        <v>470.14981870000003</v>
      </c>
      <c r="E239">
        <v>469.61846489999999</v>
      </c>
    </row>
    <row r="240" spans="2:5" x14ac:dyDescent="0.3">
      <c r="B240">
        <v>458.41338354627607</v>
      </c>
      <c r="C240">
        <v>468.74308999026442</v>
      </c>
      <c r="D240">
        <v>470.20046500000001</v>
      </c>
      <c r="E240">
        <v>469.58425899999997</v>
      </c>
    </row>
    <row r="241" spans="2:5" x14ac:dyDescent="0.3">
      <c r="B241">
        <v>462.52962919004278</v>
      </c>
      <c r="C241">
        <v>460.86697114913335</v>
      </c>
      <c r="D241">
        <v>470.12276179999998</v>
      </c>
      <c r="E241">
        <v>469.68304210000002</v>
      </c>
    </row>
    <row r="242" spans="2:5" x14ac:dyDescent="0.3">
      <c r="B242">
        <v>457.57999069899631</v>
      </c>
      <c r="C242">
        <v>470.90146018187016</v>
      </c>
      <c r="D242">
        <v>470.05666179999997</v>
      </c>
      <c r="E242">
        <v>469.66654649999998</v>
      </c>
    </row>
    <row r="243" spans="2:5" x14ac:dyDescent="0.3">
      <c r="B243">
        <v>472.28819980494319</v>
      </c>
      <c r="C243">
        <v>461.3298573266224</v>
      </c>
      <c r="D243">
        <v>470.24844510000003</v>
      </c>
      <c r="E243">
        <v>469.52463790000002</v>
      </c>
    </row>
    <row r="244" spans="2:5" x14ac:dyDescent="0.3">
      <c r="B244">
        <v>465.853391938085</v>
      </c>
      <c r="C244">
        <v>470.03023852714466</v>
      </c>
      <c r="D244">
        <v>470.09712839999997</v>
      </c>
      <c r="E244">
        <v>469.51879960000002</v>
      </c>
    </row>
    <row r="245" spans="2:5" x14ac:dyDescent="0.3">
      <c r="B245">
        <v>463.65216757934968</v>
      </c>
      <c r="C245">
        <v>468.98173027845365</v>
      </c>
      <c r="D245">
        <v>470.09051940000001</v>
      </c>
      <c r="E245">
        <v>469.5213005</v>
      </c>
    </row>
    <row r="246" spans="2:5" x14ac:dyDescent="0.3">
      <c r="B246">
        <v>459.35885253719658</v>
      </c>
      <c r="C246">
        <v>464.88396327455558</v>
      </c>
      <c r="D246">
        <v>470.1866733</v>
      </c>
      <c r="E246">
        <v>469.58997749999997</v>
      </c>
    </row>
    <row r="247" spans="2:5" x14ac:dyDescent="0.3">
      <c r="B247">
        <v>479.76203769773497</v>
      </c>
      <c r="C247">
        <v>458.93104865023923</v>
      </c>
      <c r="D247">
        <v>470.01559630000003</v>
      </c>
      <c r="E247">
        <v>469.58282869999999</v>
      </c>
    </row>
    <row r="248" spans="2:5" x14ac:dyDescent="0.3">
      <c r="B248">
        <v>467.93230999040765</v>
      </c>
      <c r="C248">
        <v>459.5602590375882</v>
      </c>
      <c r="D248">
        <v>470.28363869999998</v>
      </c>
      <c r="E248">
        <v>469.64129159999999</v>
      </c>
    </row>
    <row r="249" spans="2:5" x14ac:dyDescent="0.3">
      <c r="B249">
        <v>468.72825212851001</v>
      </c>
      <c r="C249">
        <v>462.89077524313547</v>
      </c>
      <c r="D249">
        <v>470.101922</v>
      </c>
      <c r="E249">
        <v>469.58103929999999</v>
      </c>
    </row>
    <row r="250" spans="2:5" x14ac:dyDescent="0.3">
      <c r="B250">
        <v>458.81790679237713</v>
      </c>
      <c r="C250">
        <v>467.32210500980227</v>
      </c>
      <c r="D250">
        <v>470.2115632</v>
      </c>
      <c r="E250">
        <v>469.6747853</v>
      </c>
    </row>
    <row r="251" spans="2:5" x14ac:dyDescent="0.3">
      <c r="B251">
        <v>467.03661287626443</v>
      </c>
      <c r="C251">
        <v>468.10373861011334</v>
      </c>
      <c r="D251">
        <v>470.1009684</v>
      </c>
      <c r="E251">
        <v>469.66914550000001</v>
      </c>
    </row>
    <row r="252" spans="2:5" x14ac:dyDescent="0.3">
      <c r="B252">
        <v>486.20166570476681</v>
      </c>
      <c r="C252">
        <v>466.0610768142119</v>
      </c>
      <c r="D252">
        <v>470.20985480000002</v>
      </c>
      <c r="E252">
        <v>469.465079</v>
      </c>
    </row>
    <row r="253" spans="2:5" x14ac:dyDescent="0.3">
      <c r="B253">
        <v>445.97378880309947</v>
      </c>
      <c r="C253">
        <v>459.60023808564677</v>
      </c>
      <c r="D253">
        <v>469.9911841</v>
      </c>
      <c r="E253">
        <v>469.60986159999999</v>
      </c>
    </row>
    <row r="254" spans="2:5" x14ac:dyDescent="0.3">
      <c r="B254">
        <v>474.44206089970191</v>
      </c>
      <c r="C254">
        <v>469.94357050344792</v>
      </c>
      <c r="D254">
        <v>470.24785259999999</v>
      </c>
      <c r="E254">
        <v>469.6683428</v>
      </c>
    </row>
    <row r="255" spans="2:5" x14ac:dyDescent="0.3">
      <c r="B255">
        <v>461.92859314789763</v>
      </c>
      <c r="C255">
        <v>473.32503201209977</v>
      </c>
      <c r="D255">
        <v>470.15619750000002</v>
      </c>
      <c r="E255">
        <v>469.55757019999999</v>
      </c>
    </row>
    <row r="256" spans="2:5" x14ac:dyDescent="0.3">
      <c r="B256">
        <v>459.79915671962522</v>
      </c>
      <c r="C256">
        <v>474.65506520371684</v>
      </c>
      <c r="D256">
        <v>470.11412419999999</v>
      </c>
      <c r="E256">
        <v>469.67593360000001</v>
      </c>
    </row>
    <row r="257" spans="2:5" x14ac:dyDescent="0.3">
      <c r="B257">
        <v>471.61710284408451</v>
      </c>
      <c r="C257">
        <v>472.08551622614635</v>
      </c>
      <c r="D257">
        <v>470.01059420000001</v>
      </c>
      <c r="E257">
        <v>469.64000349999998</v>
      </c>
    </row>
    <row r="258" spans="2:5" x14ac:dyDescent="0.3">
      <c r="B258">
        <v>472.41281415288171</v>
      </c>
      <c r="C258">
        <v>469.52786065119142</v>
      </c>
      <c r="D258">
        <v>470.11404499999998</v>
      </c>
      <c r="E258">
        <v>469.56565540000003</v>
      </c>
    </row>
    <row r="259" spans="2:5" x14ac:dyDescent="0.3">
      <c r="B259">
        <v>453.61146884017705</v>
      </c>
      <c r="C259">
        <v>475.94844674571164</v>
      </c>
      <c r="D259">
        <v>470.13743590000001</v>
      </c>
      <c r="E259">
        <v>469.5623496</v>
      </c>
    </row>
    <row r="260" spans="2:5" x14ac:dyDescent="0.3">
      <c r="B260">
        <v>462.48736029970036</v>
      </c>
      <c r="C260">
        <v>470.61503328818947</v>
      </c>
      <c r="D260">
        <v>470.16421609999998</v>
      </c>
      <c r="E260">
        <v>469.60782210000002</v>
      </c>
    </row>
    <row r="261" spans="2:5" x14ac:dyDescent="0.3">
      <c r="B261">
        <v>458.45726189921908</v>
      </c>
      <c r="C261">
        <v>464.27934451946885</v>
      </c>
      <c r="D261">
        <v>470.19311110000001</v>
      </c>
      <c r="E261">
        <v>469.60821399999998</v>
      </c>
    </row>
    <row r="262" spans="2:5" x14ac:dyDescent="0.3">
      <c r="B262">
        <v>465.33866414075175</v>
      </c>
      <c r="C262">
        <v>462.37101294170054</v>
      </c>
      <c r="D262">
        <v>470.01663710000003</v>
      </c>
      <c r="E262">
        <v>469.5807729</v>
      </c>
    </row>
    <row r="263" spans="2:5" x14ac:dyDescent="0.3">
      <c r="B263">
        <v>458.61777280263692</v>
      </c>
      <c r="C263">
        <v>463.7901687486841</v>
      </c>
      <c r="D263">
        <v>470.10348879999998</v>
      </c>
      <c r="E263">
        <v>469.6872813</v>
      </c>
    </row>
    <row r="264" spans="2:5" x14ac:dyDescent="0.3">
      <c r="B264">
        <v>462.57528428884626</v>
      </c>
      <c r="C264">
        <v>469.55641743531243</v>
      </c>
      <c r="D264">
        <v>470.04389759999998</v>
      </c>
      <c r="E264">
        <v>469.64541509999998</v>
      </c>
    </row>
    <row r="265" spans="2:5" x14ac:dyDescent="0.3">
      <c r="B265">
        <v>463.55265157727905</v>
      </c>
      <c r="C265">
        <v>472.48935096391523</v>
      </c>
      <c r="D265">
        <v>470.11902409999999</v>
      </c>
      <c r="E265">
        <v>469.57268959999999</v>
      </c>
    </row>
    <row r="266" spans="2:5" x14ac:dyDescent="0.3">
      <c r="B266">
        <v>459.66892811926795</v>
      </c>
      <c r="C266">
        <v>470.83541585827044</v>
      </c>
      <c r="D266">
        <v>470.16661290000002</v>
      </c>
      <c r="E266">
        <v>469.55052849999998</v>
      </c>
    </row>
    <row r="267" spans="2:5" x14ac:dyDescent="0.3">
      <c r="B267">
        <v>450.44438001134932</v>
      </c>
      <c r="C267">
        <v>470.50620768724087</v>
      </c>
      <c r="D267">
        <v>470.11893880000002</v>
      </c>
      <c r="E267">
        <v>469.62446979999999</v>
      </c>
    </row>
    <row r="268" spans="2:5" x14ac:dyDescent="0.3">
      <c r="B268">
        <v>475.73075968193842</v>
      </c>
      <c r="C268">
        <v>474.30308150336043</v>
      </c>
      <c r="D268">
        <v>470.06332780000002</v>
      </c>
      <c r="E268">
        <v>469.6193753</v>
      </c>
    </row>
    <row r="269" spans="2:5" x14ac:dyDescent="0.3">
      <c r="B269">
        <v>468.81522625613513</v>
      </c>
      <c r="C269">
        <v>466.00862959329118</v>
      </c>
      <c r="D269">
        <v>470.1785926</v>
      </c>
      <c r="E269">
        <v>469.63183420000001</v>
      </c>
    </row>
    <row r="270" spans="2:5" x14ac:dyDescent="0.3">
      <c r="B270">
        <v>478.06055890523328</v>
      </c>
      <c r="C270">
        <v>468.54656982428406</v>
      </c>
      <c r="D270">
        <v>470.09401209999999</v>
      </c>
      <c r="E270">
        <v>469.61420980000003</v>
      </c>
    </row>
    <row r="271" spans="2:5" x14ac:dyDescent="0.3">
      <c r="B271">
        <v>467.98362035023371</v>
      </c>
      <c r="C271">
        <v>470.87623822101045</v>
      </c>
      <c r="D271">
        <v>470.05028750000002</v>
      </c>
      <c r="E271">
        <v>469.75776919999998</v>
      </c>
    </row>
    <row r="272" spans="2:5" x14ac:dyDescent="0.3">
      <c r="B272">
        <v>450.76146481210844</v>
      </c>
      <c r="C272">
        <v>461.7624122069746</v>
      </c>
      <c r="D272">
        <v>469.98621439999999</v>
      </c>
      <c r="E272">
        <v>469.59395499999999</v>
      </c>
    </row>
    <row r="273" spans="2:5" x14ac:dyDescent="0.3">
      <c r="B273">
        <v>460.78095893332994</v>
      </c>
      <c r="C273">
        <v>467.33452401875059</v>
      </c>
      <c r="D273">
        <v>470.12646790000002</v>
      </c>
      <c r="E273">
        <v>469.56034590000002</v>
      </c>
    </row>
    <row r="274" spans="2:5" x14ac:dyDescent="0.3">
      <c r="B274">
        <v>482.96040161967295</v>
      </c>
      <c r="C274">
        <v>472.90845609177643</v>
      </c>
      <c r="D274">
        <v>470.22702709999999</v>
      </c>
      <c r="E274">
        <v>469.62606319999998</v>
      </c>
    </row>
    <row r="275" spans="2:5" x14ac:dyDescent="0.3">
      <c r="B275">
        <v>471.3659387532428</v>
      </c>
      <c r="C275">
        <v>474.63660723838296</v>
      </c>
      <c r="D275">
        <v>470.07141380000002</v>
      </c>
      <c r="E275">
        <v>469.66804359999998</v>
      </c>
    </row>
    <row r="276" spans="2:5" x14ac:dyDescent="0.3">
      <c r="B276">
        <v>470.2203735005582</v>
      </c>
      <c r="C276">
        <v>465.87587792616034</v>
      </c>
      <c r="D276">
        <v>470.2876943</v>
      </c>
      <c r="E276">
        <v>469.70161139999999</v>
      </c>
    </row>
    <row r="277" spans="2:5" x14ac:dyDescent="0.3">
      <c r="B277">
        <v>468.66664609493671</v>
      </c>
      <c r="C277">
        <v>461.99041339948815</v>
      </c>
      <c r="D277">
        <v>470.19933639999999</v>
      </c>
      <c r="E277">
        <v>469.61290680000002</v>
      </c>
    </row>
    <row r="278" spans="2:5" x14ac:dyDescent="0.3">
      <c r="B278">
        <v>478.85148834094616</v>
      </c>
      <c r="C278">
        <v>466.58997831172485</v>
      </c>
      <c r="D278">
        <v>470.13754649999998</v>
      </c>
      <c r="E278">
        <v>469.65387720000001</v>
      </c>
    </row>
    <row r="279" spans="2:5" x14ac:dyDescent="0.3">
      <c r="B279">
        <v>460.08484303033913</v>
      </c>
      <c r="C279">
        <v>466.11066133508791</v>
      </c>
      <c r="D279">
        <v>470.10098740000001</v>
      </c>
      <c r="E279">
        <v>469.59078290000002</v>
      </c>
    </row>
    <row r="280" spans="2:5" x14ac:dyDescent="0.3">
      <c r="B280">
        <v>468.06607566008245</v>
      </c>
      <c r="C280">
        <v>470.49766150620547</v>
      </c>
      <c r="D280">
        <v>469.99733529999997</v>
      </c>
      <c r="E280">
        <v>469.59917960000001</v>
      </c>
    </row>
    <row r="281" spans="2:5" x14ac:dyDescent="0.3">
      <c r="B281">
        <v>471.20104801253689</v>
      </c>
      <c r="C281">
        <v>469.61205397049918</v>
      </c>
      <c r="D281">
        <v>470.01352639999999</v>
      </c>
      <c r="E281">
        <v>469.73179390000001</v>
      </c>
    </row>
    <row r="282" spans="2:5" x14ac:dyDescent="0.3">
      <c r="B282">
        <v>463.26505283524324</v>
      </c>
      <c r="C282">
        <v>460.42830393190758</v>
      </c>
      <c r="D282">
        <v>470.12133460000001</v>
      </c>
      <c r="E282">
        <v>469.71738060000001</v>
      </c>
    </row>
    <row r="283" spans="2:5" x14ac:dyDescent="0.3">
      <c r="B283">
        <v>471.38495210462224</v>
      </c>
      <c r="C283">
        <v>474.79073809408624</v>
      </c>
      <c r="D283">
        <v>470.29524789999999</v>
      </c>
      <c r="E283">
        <v>469.62072419999998</v>
      </c>
    </row>
    <row r="284" spans="2:5" x14ac:dyDescent="0.3">
      <c r="B284">
        <v>454.01850080938783</v>
      </c>
      <c r="C284">
        <v>460.44445773778506</v>
      </c>
      <c r="D284">
        <v>469.96921589999999</v>
      </c>
      <c r="E284">
        <v>469.6845108</v>
      </c>
    </row>
    <row r="285" spans="2:5" x14ac:dyDescent="0.3">
      <c r="B285">
        <v>464.00489324629081</v>
      </c>
      <c r="C285">
        <v>476.32788896481918</v>
      </c>
      <c r="D285">
        <v>470.14726710000002</v>
      </c>
      <c r="E285">
        <v>469.64255919999999</v>
      </c>
    </row>
    <row r="286" spans="2:5" x14ac:dyDescent="0.3">
      <c r="B286">
        <v>471.26699870057996</v>
      </c>
      <c r="C286">
        <v>461.44881214506171</v>
      </c>
      <c r="D286">
        <v>470.18178030000001</v>
      </c>
      <c r="E286">
        <v>469.6390561</v>
      </c>
    </row>
    <row r="287" spans="2:5" x14ac:dyDescent="0.3">
      <c r="B287">
        <v>454.75273256391046</v>
      </c>
      <c r="C287">
        <v>474.77779685228359</v>
      </c>
      <c r="D287">
        <v>470.05990109999999</v>
      </c>
      <c r="E287">
        <v>469.66496380000001</v>
      </c>
    </row>
    <row r="288" spans="2:5" x14ac:dyDescent="0.3">
      <c r="B288">
        <v>468.68910031119634</v>
      </c>
      <c r="C288">
        <v>470.85244510363196</v>
      </c>
      <c r="D288">
        <v>470.26534190000001</v>
      </c>
      <c r="E288">
        <v>469.51392099999998</v>
      </c>
    </row>
    <row r="289" spans="2:5" x14ac:dyDescent="0.3">
      <c r="B289">
        <v>470.10436670891249</v>
      </c>
      <c r="C289">
        <v>467.11492609044859</v>
      </c>
      <c r="D289">
        <v>470.12752019999999</v>
      </c>
      <c r="E289">
        <v>469.56652339999999</v>
      </c>
    </row>
    <row r="290" spans="2:5" x14ac:dyDescent="0.3">
      <c r="B290">
        <v>475.71824821477486</v>
      </c>
      <c r="C290">
        <v>459.88529899325528</v>
      </c>
      <c r="D290">
        <v>470.08167109999999</v>
      </c>
      <c r="E290">
        <v>469.47858960000002</v>
      </c>
    </row>
    <row r="291" spans="2:5" x14ac:dyDescent="0.3">
      <c r="B291">
        <v>467.97509693751749</v>
      </c>
      <c r="C291">
        <v>467.09713701288149</v>
      </c>
      <c r="D291">
        <v>470.17795489999997</v>
      </c>
      <c r="E291">
        <v>469.71834330000002</v>
      </c>
    </row>
    <row r="292" spans="2:5" x14ac:dyDescent="0.3">
      <c r="B292">
        <v>457.73952024362666</v>
      </c>
      <c r="C292">
        <v>470.71277021939625</v>
      </c>
      <c r="D292">
        <v>470.2916123</v>
      </c>
      <c r="E292">
        <v>469.70942669999999</v>
      </c>
    </row>
    <row r="293" spans="2:5" x14ac:dyDescent="0.3">
      <c r="B293">
        <v>458.76550847857027</v>
      </c>
      <c r="C293">
        <v>469.17606906636502</v>
      </c>
      <c r="D293">
        <v>470.1458571</v>
      </c>
      <c r="E293">
        <v>469.6443347</v>
      </c>
    </row>
    <row r="294" spans="2:5" x14ac:dyDescent="0.3">
      <c r="B294">
        <v>469.44425315472051</v>
      </c>
      <c r="C294">
        <v>463.2604413663127</v>
      </c>
      <c r="D294">
        <v>470.16297680000002</v>
      </c>
      <c r="E294">
        <v>469.6510179</v>
      </c>
    </row>
    <row r="295" spans="2:5" x14ac:dyDescent="0.3">
      <c r="B295">
        <v>472.06313943534252</v>
      </c>
      <c r="C295">
        <v>459.3288705805478</v>
      </c>
      <c r="D295">
        <v>470.15121420000003</v>
      </c>
      <c r="E295">
        <v>469.56904059999999</v>
      </c>
    </row>
    <row r="296" spans="2:5" x14ac:dyDescent="0.3">
      <c r="B296">
        <v>452.59200042207937</v>
      </c>
      <c r="C296">
        <v>465.66011199027798</v>
      </c>
      <c r="D296">
        <v>470.2634132</v>
      </c>
      <c r="E296">
        <v>469.70393519999999</v>
      </c>
    </row>
    <row r="297" spans="2:5" x14ac:dyDescent="0.3">
      <c r="B297">
        <v>467.16699384111865</v>
      </c>
      <c r="C297">
        <v>476.44050109093109</v>
      </c>
      <c r="D297">
        <v>470.1426462</v>
      </c>
      <c r="E297">
        <v>469.62640879999998</v>
      </c>
    </row>
    <row r="298" spans="2:5" x14ac:dyDescent="0.3">
      <c r="B298">
        <v>453.34290120119692</v>
      </c>
      <c r="C298">
        <v>465.3361591390879</v>
      </c>
      <c r="D298">
        <v>470.15572120000002</v>
      </c>
      <c r="E298">
        <v>469.70038340000002</v>
      </c>
    </row>
    <row r="299" spans="2:5" x14ac:dyDescent="0.3">
      <c r="B299">
        <v>465.61358492702482</v>
      </c>
      <c r="C299">
        <v>467.69672812078215</v>
      </c>
      <c r="D299">
        <v>470.14582860000002</v>
      </c>
      <c r="E299">
        <v>469.66253890000002</v>
      </c>
    </row>
    <row r="300" spans="2:5" x14ac:dyDescent="0.3">
      <c r="B300">
        <v>470.10101189989064</v>
      </c>
      <c r="C300">
        <v>473.01887647305239</v>
      </c>
      <c r="D300">
        <v>470.09899369999999</v>
      </c>
      <c r="E300">
        <v>469.51056360000001</v>
      </c>
    </row>
    <row r="301" spans="2:5" x14ac:dyDescent="0.3">
      <c r="B301">
        <v>462.62634457878119</v>
      </c>
      <c r="C301">
        <v>477.68455851128806</v>
      </c>
      <c r="D301">
        <v>469.95419650000002</v>
      </c>
      <c r="E301">
        <v>469.6693075</v>
      </c>
    </row>
    <row r="302" spans="2:5" x14ac:dyDescent="0.3">
      <c r="B302">
        <v>476.14776180943579</v>
      </c>
      <c r="C302">
        <v>478.29406783318842</v>
      </c>
      <c r="D302">
        <v>470.08926209999998</v>
      </c>
      <c r="E302">
        <v>469.67161909999999</v>
      </c>
    </row>
    <row r="303" spans="2:5" x14ac:dyDescent="0.3">
      <c r="B303">
        <v>465.85868188208769</v>
      </c>
      <c r="C303">
        <v>476.43368230487619</v>
      </c>
      <c r="D303">
        <v>470.1726898</v>
      </c>
      <c r="E303">
        <v>469.66967090000003</v>
      </c>
    </row>
    <row r="304" spans="2:5" x14ac:dyDescent="0.3">
      <c r="B304">
        <v>465.30135662364859</v>
      </c>
      <c r="C304">
        <v>469.47575884202212</v>
      </c>
      <c r="D304">
        <v>470.0206475</v>
      </c>
      <c r="E304">
        <v>469.63620179999998</v>
      </c>
    </row>
    <row r="305" spans="2:5" x14ac:dyDescent="0.3">
      <c r="B305">
        <v>452.400933571498</v>
      </c>
      <c r="C305">
        <v>466.22316395716723</v>
      </c>
      <c r="D305">
        <v>470.1760658</v>
      </c>
      <c r="E305">
        <v>469.58822950000001</v>
      </c>
    </row>
    <row r="306" spans="2:5" x14ac:dyDescent="0.3">
      <c r="B306">
        <v>464.96694735186622</v>
      </c>
      <c r="C306">
        <v>469.30241878520121</v>
      </c>
      <c r="D306">
        <v>470.26344469999998</v>
      </c>
      <c r="E306">
        <v>469.56269709999998</v>
      </c>
    </row>
    <row r="307" spans="2:5" x14ac:dyDescent="0.3">
      <c r="B307">
        <v>470.34158046319322</v>
      </c>
      <c r="C307">
        <v>469.2953074923048</v>
      </c>
      <c r="D307">
        <v>470.23474440000001</v>
      </c>
      <c r="E307">
        <v>469.57618439999999</v>
      </c>
    </row>
    <row r="308" spans="2:5" x14ac:dyDescent="0.3">
      <c r="B308">
        <v>480.58272962734435</v>
      </c>
      <c r="C308">
        <v>467.41887955632149</v>
      </c>
      <c r="D308">
        <v>470.28295680000002</v>
      </c>
      <c r="E308">
        <v>469.58225160000001</v>
      </c>
    </row>
    <row r="309" spans="2:5" x14ac:dyDescent="0.3">
      <c r="B309">
        <v>475.17968192964975</v>
      </c>
      <c r="C309">
        <v>469.56159330150894</v>
      </c>
      <c r="D309">
        <v>470.25000440000002</v>
      </c>
      <c r="E309">
        <v>469.59002029999999</v>
      </c>
    </row>
    <row r="310" spans="2:5" x14ac:dyDescent="0.3">
      <c r="B310">
        <v>450.36174883023199</v>
      </c>
      <c r="C310">
        <v>466.85854698569062</v>
      </c>
      <c r="D310">
        <v>470.2495965</v>
      </c>
      <c r="E310">
        <v>469.57047119999999</v>
      </c>
    </row>
    <row r="311" spans="2:5" x14ac:dyDescent="0.3">
      <c r="B311">
        <v>456.31716483375709</v>
      </c>
      <c r="C311">
        <v>463.60243742473034</v>
      </c>
      <c r="D311">
        <v>470.05677559999998</v>
      </c>
      <c r="E311">
        <v>469.62680499999999</v>
      </c>
    </row>
    <row r="312" spans="2:5" x14ac:dyDescent="0.3">
      <c r="B312">
        <v>473.07921200971037</v>
      </c>
      <c r="C312">
        <v>460.01151572168294</v>
      </c>
      <c r="D312">
        <v>470.14584450000001</v>
      </c>
      <c r="E312">
        <v>469.62672479999998</v>
      </c>
    </row>
    <row r="313" spans="2:5" x14ac:dyDescent="0.3">
      <c r="B313">
        <v>477.48750219515159</v>
      </c>
      <c r="C313">
        <v>465.72869701028952</v>
      </c>
      <c r="D313">
        <v>470.15569149999999</v>
      </c>
      <c r="E313">
        <v>469.5764653</v>
      </c>
    </row>
    <row r="314" spans="2:5" x14ac:dyDescent="0.3">
      <c r="B314">
        <v>457.76327915681691</v>
      </c>
      <c r="C314">
        <v>468.74202773770043</v>
      </c>
      <c r="D314">
        <v>470.35103509999999</v>
      </c>
      <c r="E314">
        <v>469.58901539999999</v>
      </c>
    </row>
    <row r="315" spans="2:5" x14ac:dyDescent="0.3">
      <c r="B315">
        <v>449.08251098386734</v>
      </c>
      <c r="C315">
        <v>467.54653777972868</v>
      </c>
      <c r="D315">
        <v>470.30272780000001</v>
      </c>
      <c r="E315">
        <v>469.68796040000001</v>
      </c>
    </row>
    <row r="316" spans="2:5" x14ac:dyDescent="0.3">
      <c r="B316">
        <v>469.17898598571975</v>
      </c>
      <c r="C316">
        <v>455.22063820135247</v>
      </c>
      <c r="D316">
        <v>470.07904980000001</v>
      </c>
      <c r="E316">
        <v>469.61511960000001</v>
      </c>
    </row>
    <row r="317" spans="2:5" x14ac:dyDescent="0.3">
      <c r="B317">
        <v>472.80966782285509</v>
      </c>
      <c r="C317">
        <v>473.98843518006498</v>
      </c>
      <c r="D317">
        <v>470.22369520000001</v>
      </c>
      <c r="E317">
        <v>469.56192140000002</v>
      </c>
    </row>
    <row r="318" spans="2:5" x14ac:dyDescent="0.3">
      <c r="B318">
        <v>452.85616705599972</v>
      </c>
      <c r="C318">
        <v>472.49407502528601</v>
      </c>
      <c r="D318">
        <v>470.16493780000002</v>
      </c>
      <c r="E318">
        <v>469.67816399999998</v>
      </c>
    </row>
    <row r="319" spans="2:5" x14ac:dyDescent="0.3">
      <c r="B319">
        <v>465.02301246223772</v>
      </c>
      <c r="C319">
        <v>466.52211041449283</v>
      </c>
      <c r="D319">
        <v>470.05015109999999</v>
      </c>
      <c r="E319">
        <v>469.61812930000002</v>
      </c>
    </row>
    <row r="320" spans="2:5" x14ac:dyDescent="0.3">
      <c r="B320">
        <v>460.38313157548174</v>
      </c>
      <c r="C320">
        <v>468.18730580671371</v>
      </c>
      <c r="D320">
        <v>470.07576699999998</v>
      </c>
      <c r="E320">
        <v>469.5514417</v>
      </c>
    </row>
    <row r="321" spans="2:5" x14ac:dyDescent="0.3">
      <c r="B321">
        <v>477.64911947058965</v>
      </c>
      <c r="C321">
        <v>463.77817829879467</v>
      </c>
      <c r="D321">
        <v>470.20143080000003</v>
      </c>
      <c r="E321">
        <v>469.70629100000002</v>
      </c>
    </row>
    <row r="322" spans="2:5" x14ac:dyDescent="0.3">
      <c r="B322">
        <v>464.9064568158031</v>
      </c>
      <c r="C322">
        <v>472.28920316055593</v>
      </c>
      <c r="D322">
        <v>470.1092218</v>
      </c>
      <c r="E322">
        <v>469.57806540000001</v>
      </c>
    </row>
    <row r="323" spans="2:5" x14ac:dyDescent="0.3">
      <c r="B323">
        <v>461.80277683265297</v>
      </c>
      <c r="C323">
        <v>466.53551419999752</v>
      </c>
      <c r="D323">
        <v>469.97473239999999</v>
      </c>
      <c r="E323">
        <v>469.6644733</v>
      </c>
    </row>
    <row r="324" spans="2:5" x14ac:dyDescent="0.3">
      <c r="B324">
        <v>469.83683651771497</v>
      </c>
      <c r="C324">
        <v>466.14278546336624</v>
      </c>
      <c r="D324">
        <v>470.08439340000001</v>
      </c>
      <c r="E324">
        <v>469.62480799999997</v>
      </c>
    </row>
    <row r="325" spans="2:5" x14ac:dyDescent="0.3">
      <c r="B325">
        <v>472.18950898851722</v>
      </c>
      <c r="C325">
        <v>471.47575921493109</v>
      </c>
      <c r="D325">
        <v>470.17804840000002</v>
      </c>
      <c r="E325">
        <v>469.660529</v>
      </c>
    </row>
    <row r="326" spans="2:5" x14ac:dyDescent="0.3">
      <c r="B326">
        <v>462.51095647081246</v>
      </c>
      <c r="C326">
        <v>471.68414586353902</v>
      </c>
      <c r="D326">
        <v>470.0349248</v>
      </c>
      <c r="E326">
        <v>469.72776420000002</v>
      </c>
    </row>
    <row r="327" spans="2:5" x14ac:dyDescent="0.3">
      <c r="B327">
        <v>474.00217101088981</v>
      </c>
      <c r="C327">
        <v>475.8557754574158</v>
      </c>
      <c r="D327">
        <v>470.1484671</v>
      </c>
      <c r="E327">
        <v>469.54303440000001</v>
      </c>
    </row>
    <row r="328" spans="2:5" x14ac:dyDescent="0.3">
      <c r="B328">
        <v>470.14323072648125</v>
      </c>
      <c r="C328">
        <v>462.75116180260972</v>
      </c>
      <c r="D328">
        <v>470.12664710000001</v>
      </c>
      <c r="E328">
        <v>469.55344009999999</v>
      </c>
    </row>
    <row r="329" spans="2:5" x14ac:dyDescent="0.3">
      <c r="B329">
        <v>464.5336748397051</v>
      </c>
      <c r="C329">
        <v>470.03841957968172</v>
      </c>
      <c r="D329">
        <v>470.05006150000003</v>
      </c>
      <c r="E329">
        <v>469.66918149999998</v>
      </c>
    </row>
    <row r="330" spans="2:5" x14ac:dyDescent="0.3">
      <c r="B330">
        <v>474.39046511264741</v>
      </c>
      <c r="C330">
        <v>463.12789316581927</v>
      </c>
      <c r="D330">
        <v>470.14668949999998</v>
      </c>
      <c r="E330">
        <v>469.60969469999998</v>
      </c>
    </row>
    <row r="331" spans="2:5" x14ac:dyDescent="0.3">
      <c r="B331">
        <v>463.20292413351621</v>
      </c>
      <c r="C331">
        <v>468.50486977354308</v>
      </c>
      <c r="D331">
        <v>470.15146800000002</v>
      </c>
      <c r="E331">
        <v>469.56822010000002</v>
      </c>
    </row>
    <row r="332" spans="2:5" x14ac:dyDescent="0.3">
      <c r="B332">
        <v>465.2045126652705</v>
      </c>
      <c r="C332">
        <v>471.17754234883421</v>
      </c>
      <c r="D332">
        <v>470.18447179999998</v>
      </c>
      <c r="E332">
        <v>469.61213770000001</v>
      </c>
    </row>
    <row r="333" spans="2:5" x14ac:dyDescent="0.3">
      <c r="B333">
        <v>466.14342618815061</v>
      </c>
      <c r="C333">
        <v>461.72680750179939</v>
      </c>
      <c r="D333">
        <v>470.02216989999999</v>
      </c>
      <c r="E333">
        <v>469.63913380000002</v>
      </c>
    </row>
    <row r="334" spans="2:5" x14ac:dyDescent="0.3">
      <c r="B334">
        <v>468.7574589753645</v>
      </c>
      <c r="C334">
        <v>471.684775942881</v>
      </c>
      <c r="D334">
        <v>470.18563139999998</v>
      </c>
      <c r="E334">
        <v>469.68545339999997</v>
      </c>
    </row>
    <row r="335" spans="2:5" x14ac:dyDescent="0.3">
      <c r="B335">
        <v>470.78343649177617</v>
      </c>
      <c r="C335">
        <v>472.59768687817262</v>
      </c>
      <c r="D335">
        <v>470.072564</v>
      </c>
      <c r="E335">
        <v>469.54317880000002</v>
      </c>
    </row>
    <row r="336" spans="2:5" x14ac:dyDescent="0.3">
      <c r="B336">
        <v>468.72927692710113</v>
      </c>
      <c r="C336">
        <v>458.4656017036769</v>
      </c>
      <c r="D336">
        <v>470.03920210000001</v>
      </c>
      <c r="E336">
        <v>469.51564660000003</v>
      </c>
    </row>
    <row r="337" spans="2:5" x14ac:dyDescent="0.3">
      <c r="B337">
        <v>455.10295807112482</v>
      </c>
      <c r="C337">
        <v>465.63341861613696</v>
      </c>
      <c r="D337">
        <v>470.10980239999998</v>
      </c>
      <c r="E337">
        <v>469.63479530000001</v>
      </c>
    </row>
    <row r="338" spans="2:5" x14ac:dyDescent="0.3">
      <c r="B338">
        <v>480.99644154052436</v>
      </c>
      <c r="C338">
        <v>467.86666518193465</v>
      </c>
      <c r="D338">
        <v>469.99848580000003</v>
      </c>
      <c r="E338">
        <v>469.73367330000002</v>
      </c>
    </row>
    <row r="339" spans="2:5" x14ac:dyDescent="0.3">
      <c r="B339">
        <v>470.04102626201632</v>
      </c>
      <c r="C339">
        <v>470.7715261680537</v>
      </c>
      <c r="D339">
        <v>470.22846770000001</v>
      </c>
      <c r="E339">
        <v>469.62327090000002</v>
      </c>
    </row>
    <row r="340" spans="2:5" x14ac:dyDescent="0.3">
      <c r="B340">
        <v>458.1920636525694</v>
      </c>
      <c r="C340">
        <v>472.98953067566947</v>
      </c>
      <c r="D340">
        <v>470.0531512</v>
      </c>
      <c r="E340">
        <v>469.68302990000001</v>
      </c>
    </row>
    <row r="341" spans="2:5" x14ac:dyDescent="0.3">
      <c r="B341">
        <v>444.07064903375459</v>
      </c>
      <c r="C341">
        <v>470.16718837669089</v>
      </c>
      <c r="D341">
        <v>470.1108663</v>
      </c>
      <c r="E341">
        <v>469.6584393</v>
      </c>
    </row>
    <row r="342" spans="2:5" x14ac:dyDescent="0.3">
      <c r="B342">
        <v>476.86088909807847</v>
      </c>
      <c r="C342">
        <v>468.5780076728455</v>
      </c>
      <c r="D342">
        <v>470.1377885</v>
      </c>
      <c r="E342">
        <v>469.52278860000001</v>
      </c>
    </row>
    <row r="343" spans="2:5" x14ac:dyDescent="0.3">
      <c r="B343">
        <v>464.81684990940244</v>
      </c>
      <c r="C343">
        <v>468.59815511549107</v>
      </c>
      <c r="D343">
        <v>470.1400544</v>
      </c>
      <c r="E343">
        <v>469.71522199999998</v>
      </c>
    </row>
    <row r="344" spans="2:5" x14ac:dyDescent="0.3">
      <c r="B344">
        <v>478.14032549686749</v>
      </c>
      <c r="C344">
        <v>481.59732217807704</v>
      </c>
      <c r="D344">
        <v>470.13014800000002</v>
      </c>
      <c r="E344">
        <v>469.56560409999997</v>
      </c>
    </row>
    <row r="345" spans="2:5" x14ac:dyDescent="0.3">
      <c r="B345">
        <v>462.80870307035394</v>
      </c>
      <c r="C345">
        <v>460.62174177189195</v>
      </c>
      <c r="D345">
        <v>470.17940220000003</v>
      </c>
      <c r="E345">
        <v>469.60694910000001</v>
      </c>
    </row>
    <row r="346" spans="2:5" x14ac:dyDescent="0.3">
      <c r="B346">
        <v>468.80838325426862</v>
      </c>
      <c r="C346">
        <v>471.21470668881977</v>
      </c>
      <c r="D346">
        <v>470.25856920000001</v>
      </c>
      <c r="E346">
        <v>469.62627420000001</v>
      </c>
    </row>
    <row r="347" spans="2:5" x14ac:dyDescent="0.3">
      <c r="B347">
        <v>457.42342418662895</v>
      </c>
      <c r="C347">
        <v>470.19366753400806</v>
      </c>
      <c r="D347">
        <v>470.14262539999999</v>
      </c>
      <c r="E347">
        <v>469.80524809999997</v>
      </c>
    </row>
    <row r="348" spans="2:5" x14ac:dyDescent="0.3">
      <c r="B348">
        <v>472.3857451852931</v>
      </c>
      <c r="C348">
        <v>477.51092057438336</v>
      </c>
      <c r="D348">
        <v>470.09106450000002</v>
      </c>
      <c r="E348">
        <v>469.65830149999999</v>
      </c>
    </row>
    <row r="349" spans="2:5" x14ac:dyDescent="0.3">
      <c r="B349">
        <v>467.61136556680526</v>
      </c>
      <c r="C349">
        <v>460.9205108557494</v>
      </c>
      <c r="D349">
        <v>470.2195552</v>
      </c>
      <c r="E349">
        <v>469.60397399999999</v>
      </c>
    </row>
    <row r="350" spans="2:5" x14ac:dyDescent="0.3">
      <c r="B350">
        <v>469.79531732804469</v>
      </c>
      <c r="C350">
        <v>464.30296595956304</v>
      </c>
      <c r="D350">
        <v>470.1869931</v>
      </c>
      <c r="E350">
        <v>469.6044096</v>
      </c>
    </row>
    <row r="351" spans="2:5" x14ac:dyDescent="0.3">
      <c r="B351">
        <v>466.18999337503305</v>
      </c>
      <c r="C351">
        <v>461.73175675552301</v>
      </c>
      <c r="D351">
        <v>470.07716950000002</v>
      </c>
      <c r="E351">
        <v>469.60510060000001</v>
      </c>
    </row>
    <row r="352" spans="2:5" x14ac:dyDescent="0.3">
      <c r="B352">
        <v>465.57950771461481</v>
      </c>
      <c r="C352">
        <v>466.71189204507323</v>
      </c>
      <c r="D352">
        <v>470.27947870000003</v>
      </c>
      <c r="E352">
        <v>469.61869300000001</v>
      </c>
    </row>
    <row r="353" spans="2:5" x14ac:dyDescent="0.3">
      <c r="B353">
        <v>475.70982017085026</v>
      </c>
      <c r="C353">
        <v>471.45518248215546</v>
      </c>
      <c r="D353">
        <v>469.9733306</v>
      </c>
      <c r="E353">
        <v>469.58272879999998</v>
      </c>
    </row>
    <row r="354" spans="2:5" x14ac:dyDescent="0.3">
      <c r="B354">
        <v>467.39680767710445</v>
      </c>
      <c r="C354">
        <v>466.8159321179437</v>
      </c>
      <c r="D354">
        <v>470.31221099999999</v>
      </c>
      <c r="E354">
        <v>469.65287960000001</v>
      </c>
    </row>
    <row r="355" spans="2:5" x14ac:dyDescent="0.3">
      <c r="B355">
        <v>485.07218033565675</v>
      </c>
      <c r="C355">
        <v>466.08738401961244</v>
      </c>
      <c r="D355">
        <v>470.30265580000003</v>
      </c>
      <c r="E355">
        <v>469.68348400000002</v>
      </c>
    </row>
    <row r="356" spans="2:5" x14ac:dyDescent="0.3">
      <c r="B356">
        <v>464.1809508699298</v>
      </c>
      <c r="C356">
        <v>466.04563310431956</v>
      </c>
      <c r="D356">
        <v>470.21045420000002</v>
      </c>
      <c r="E356">
        <v>469.680545</v>
      </c>
    </row>
    <row r="357" spans="2:5" x14ac:dyDescent="0.3">
      <c r="B357">
        <v>476.27863726908345</v>
      </c>
      <c r="C357">
        <v>462.57363917645284</v>
      </c>
      <c r="D357">
        <v>470.14038779999998</v>
      </c>
      <c r="E357">
        <v>469.55852290000001</v>
      </c>
    </row>
    <row r="358" spans="2:5" x14ac:dyDescent="0.3">
      <c r="B358">
        <v>452.20837391135973</v>
      </c>
      <c r="C358">
        <v>458.24247896312153</v>
      </c>
      <c r="D358">
        <v>470.098251</v>
      </c>
      <c r="E358">
        <v>469.54545469999999</v>
      </c>
    </row>
    <row r="359" spans="2:5" x14ac:dyDescent="0.3">
      <c r="B359">
        <v>470.32006570740697</v>
      </c>
      <c r="C359">
        <v>474.05030458896692</v>
      </c>
      <c r="D359">
        <v>470.16837750000002</v>
      </c>
      <c r="E359">
        <v>469.60788259999998</v>
      </c>
    </row>
    <row r="360" spans="2:5" x14ac:dyDescent="0.3">
      <c r="B360">
        <v>472.71251477056802</v>
      </c>
      <c r="C360">
        <v>469.06446497071215</v>
      </c>
      <c r="D360">
        <v>470.1694273</v>
      </c>
      <c r="E360">
        <v>469.6761166</v>
      </c>
    </row>
    <row r="361" spans="2:5" x14ac:dyDescent="0.3">
      <c r="B361">
        <v>464.79333990743174</v>
      </c>
      <c r="C361">
        <v>464.63319664722445</v>
      </c>
      <c r="D361">
        <v>470.30955599999999</v>
      </c>
      <c r="E361">
        <v>469.58907310000001</v>
      </c>
    </row>
    <row r="362" spans="2:5" x14ac:dyDescent="0.3">
      <c r="B362">
        <v>462.87205104281429</v>
      </c>
      <c r="C362">
        <v>469.6652626794945</v>
      </c>
      <c r="D362">
        <v>470.2896374</v>
      </c>
      <c r="E362">
        <v>469.68682080000002</v>
      </c>
    </row>
    <row r="363" spans="2:5" x14ac:dyDescent="0.3">
      <c r="B363">
        <v>461.4937835018327</v>
      </c>
      <c r="C363">
        <v>465.02771624228012</v>
      </c>
      <c r="D363">
        <v>470.22830879999998</v>
      </c>
      <c r="E363">
        <v>469.62063019999999</v>
      </c>
    </row>
    <row r="364" spans="2:5" x14ac:dyDescent="0.3">
      <c r="B364">
        <v>461.73075952245864</v>
      </c>
      <c r="C364">
        <v>467.0821211926351</v>
      </c>
      <c r="D364">
        <v>470.35092559999998</v>
      </c>
      <c r="E364">
        <v>469.68345140000002</v>
      </c>
    </row>
    <row r="365" spans="2:5" x14ac:dyDescent="0.3">
      <c r="B365">
        <v>465.33345013813806</v>
      </c>
      <c r="C365">
        <v>475.69232066873752</v>
      </c>
      <c r="D365">
        <v>470.2995219</v>
      </c>
      <c r="E365">
        <v>469.59250229999998</v>
      </c>
    </row>
    <row r="366" spans="2:5" x14ac:dyDescent="0.3">
      <c r="B366">
        <v>477.09562296368495</v>
      </c>
      <c r="C366">
        <v>468.9056737026612</v>
      </c>
      <c r="D366">
        <v>470.31097260000001</v>
      </c>
      <c r="E366">
        <v>469.60252910000003</v>
      </c>
    </row>
    <row r="367" spans="2:5" x14ac:dyDescent="0.3">
      <c r="B367">
        <v>468.56842917766858</v>
      </c>
      <c r="C367">
        <v>448.44813246538911</v>
      </c>
      <c r="D367">
        <v>470.19950619999997</v>
      </c>
      <c r="E367">
        <v>469.54874319999999</v>
      </c>
    </row>
    <row r="368" spans="2:5" x14ac:dyDescent="0.3">
      <c r="B368">
        <v>479.86711304800406</v>
      </c>
      <c r="C368">
        <v>482.83171421589304</v>
      </c>
      <c r="D368">
        <v>470.1187233</v>
      </c>
      <c r="E368">
        <v>469.75838779999998</v>
      </c>
    </row>
    <row r="369" spans="2:5" x14ac:dyDescent="0.3">
      <c r="B369">
        <v>463.78268801533955</v>
      </c>
      <c r="C369">
        <v>462.71443963824169</v>
      </c>
      <c r="D369">
        <v>469.88495719999997</v>
      </c>
      <c r="E369">
        <v>469.59853579999998</v>
      </c>
    </row>
    <row r="370" spans="2:5" x14ac:dyDescent="0.3">
      <c r="B370">
        <v>463.12226056306002</v>
      </c>
      <c r="C370">
        <v>466.73676364951626</v>
      </c>
      <c r="D370">
        <v>470.24388069999998</v>
      </c>
      <c r="E370">
        <v>469.52797220000002</v>
      </c>
    </row>
    <row r="371" spans="2:5" x14ac:dyDescent="0.3">
      <c r="B371">
        <v>470.14607170784677</v>
      </c>
      <c r="C371">
        <v>470.66246300195564</v>
      </c>
      <c r="D371">
        <v>470.04591429999999</v>
      </c>
      <c r="E371">
        <v>469.73978620000003</v>
      </c>
    </row>
    <row r="372" spans="2:5" x14ac:dyDescent="0.3">
      <c r="B372">
        <v>475.21442404328485</v>
      </c>
      <c r="C372">
        <v>462.54766891226484</v>
      </c>
      <c r="D372">
        <v>470.20264500000002</v>
      </c>
      <c r="E372">
        <v>469.61060350000002</v>
      </c>
    </row>
    <row r="373" spans="2:5" x14ac:dyDescent="0.3">
      <c r="B373">
        <v>460.39278732772436</v>
      </c>
      <c r="C373">
        <v>471.00187678271686</v>
      </c>
      <c r="D373">
        <v>470.12602029999999</v>
      </c>
      <c r="E373">
        <v>469.54342819999999</v>
      </c>
    </row>
    <row r="374" spans="2:5" x14ac:dyDescent="0.3">
      <c r="B374">
        <v>450.08763645935403</v>
      </c>
      <c r="C374">
        <v>467.30453918752244</v>
      </c>
      <c r="D374">
        <v>470.08400440000003</v>
      </c>
      <c r="E374">
        <v>469.61638269999997</v>
      </c>
    </row>
    <row r="375" spans="2:5" x14ac:dyDescent="0.3">
      <c r="B375">
        <v>471.09452188768245</v>
      </c>
      <c r="C375">
        <v>463.08370826247875</v>
      </c>
      <c r="D375">
        <v>470.24073499999997</v>
      </c>
      <c r="E375">
        <v>469.62473180000001</v>
      </c>
    </row>
    <row r="376" spans="2:5" x14ac:dyDescent="0.3">
      <c r="B376">
        <v>464.80759659756865</v>
      </c>
      <c r="C376">
        <v>467.57697849271847</v>
      </c>
      <c r="D376">
        <v>470.02549529999999</v>
      </c>
      <c r="E376">
        <v>469.66308359999999</v>
      </c>
    </row>
    <row r="377" spans="2:5" x14ac:dyDescent="0.3">
      <c r="B377">
        <v>463.96983385979001</v>
      </c>
      <c r="C377">
        <v>464.48937907683728</v>
      </c>
      <c r="D377">
        <v>470.05922199999998</v>
      </c>
      <c r="E377">
        <v>469.68440870000001</v>
      </c>
    </row>
    <row r="378" spans="2:5" x14ac:dyDescent="0.3">
      <c r="B378">
        <v>474.26542337245417</v>
      </c>
      <c r="C378">
        <v>466.56507422682915</v>
      </c>
      <c r="D378">
        <v>470.09745700000002</v>
      </c>
      <c r="E378">
        <v>469.6289165</v>
      </c>
    </row>
    <row r="379" spans="2:5" x14ac:dyDescent="0.3">
      <c r="B379">
        <v>461.66809770087912</v>
      </c>
      <c r="C379">
        <v>477.67215568285297</v>
      </c>
      <c r="D379">
        <v>470.11206179999999</v>
      </c>
      <c r="E379">
        <v>469.66818310000002</v>
      </c>
    </row>
    <row r="380" spans="2:5" x14ac:dyDescent="0.3">
      <c r="B380">
        <v>463.56883136026067</v>
      </c>
      <c r="C380">
        <v>460.0604433105575</v>
      </c>
      <c r="D380">
        <v>470.30218710000003</v>
      </c>
      <c r="E380">
        <v>469.67338649999999</v>
      </c>
    </row>
    <row r="381" spans="2:5" x14ac:dyDescent="0.3">
      <c r="B381">
        <v>464.05929145320027</v>
      </c>
      <c r="C381">
        <v>469.84138009459923</v>
      </c>
      <c r="D381">
        <v>470.00681780000002</v>
      </c>
      <c r="E381">
        <v>469.55246319999998</v>
      </c>
    </row>
    <row r="382" spans="2:5" x14ac:dyDescent="0.3">
      <c r="B382">
        <v>458.16147281249903</v>
      </c>
      <c r="C382">
        <v>467.15466564002566</v>
      </c>
      <c r="D382">
        <v>470.09754909999998</v>
      </c>
      <c r="E382">
        <v>469.57657829999999</v>
      </c>
    </row>
    <row r="383" spans="2:5" x14ac:dyDescent="0.3">
      <c r="B383">
        <v>462.56713478304295</v>
      </c>
      <c r="C383">
        <v>449.95459250287888</v>
      </c>
      <c r="D383">
        <v>470.1994158</v>
      </c>
      <c r="E383">
        <v>469.55219640000001</v>
      </c>
    </row>
    <row r="384" spans="2:5" x14ac:dyDescent="0.3">
      <c r="B384">
        <v>484.92919343234485</v>
      </c>
      <c r="C384">
        <v>459.47719051119731</v>
      </c>
      <c r="D384">
        <v>470.02722069999999</v>
      </c>
      <c r="E384">
        <v>469.550725</v>
      </c>
    </row>
    <row r="385" spans="2:5" x14ac:dyDescent="0.3">
      <c r="B385">
        <v>470.88450265262543</v>
      </c>
      <c r="C385">
        <v>467.79542452528381</v>
      </c>
      <c r="D385">
        <v>470.06473419999998</v>
      </c>
      <c r="E385">
        <v>469.61034749999999</v>
      </c>
    </row>
    <row r="386" spans="2:5" x14ac:dyDescent="0.3">
      <c r="B386">
        <v>470.68291964202439</v>
      </c>
      <c r="C386">
        <v>474.66054062455544</v>
      </c>
      <c r="D386">
        <v>470.21670569999998</v>
      </c>
      <c r="E386">
        <v>469.4926888</v>
      </c>
    </row>
    <row r="387" spans="2:5" x14ac:dyDescent="0.3">
      <c r="B387">
        <v>459.63137851127937</v>
      </c>
      <c r="C387">
        <v>473.89192708982773</v>
      </c>
      <c r="D387">
        <v>470.28611899999999</v>
      </c>
      <c r="E387">
        <v>469.67128780000002</v>
      </c>
    </row>
    <row r="388" spans="2:5" x14ac:dyDescent="0.3">
      <c r="B388">
        <v>463.9607988845442</v>
      </c>
      <c r="C388">
        <v>472.9075128166478</v>
      </c>
      <c r="D388">
        <v>470.14592390000001</v>
      </c>
      <c r="E388">
        <v>469.62434689999998</v>
      </c>
    </row>
    <row r="389" spans="2:5" x14ac:dyDescent="0.3">
      <c r="B389">
        <v>476.62454976276996</v>
      </c>
      <c r="C389">
        <v>466.60605494202758</v>
      </c>
      <c r="D389">
        <v>470.16613699999999</v>
      </c>
      <c r="E389">
        <v>469.657332</v>
      </c>
    </row>
    <row r="390" spans="2:5" x14ac:dyDescent="0.3">
      <c r="B390">
        <v>477.10893348490316</v>
      </c>
      <c r="C390">
        <v>464.7620926356779</v>
      </c>
      <c r="D390">
        <v>470.0701244</v>
      </c>
      <c r="E390">
        <v>469.617481</v>
      </c>
    </row>
    <row r="391" spans="2:5" x14ac:dyDescent="0.3">
      <c r="B391">
        <v>463.25146706891809</v>
      </c>
      <c r="C391">
        <v>469.17881048582586</v>
      </c>
      <c r="D391">
        <v>469.99413019999997</v>
      </c>
      <c r="E391">
        <v>469.55705690000002</v>
      </c>
    </row>
    <row r="392" spans="2:5" x14ac:dyDescent="0.3">
      <c r="B392">
        <v>472.52808690511722</v>
      </c>
      <c r="C392">
        <v>463.98394269570338</v>
      </c>
      <c r="D392">
        <v>470.17777589999997</v>
      </c>
      <c r="E392">
        <v>469.7106187</v>
      </c>
    </row>
    <row r="393" spans="2:5" x14ac:dyDescent="0.3">
      <c r="B393">
        <v>462.96334613395857</v>
      </c>
      <c r="C393">
        <v>469.62301184434131</v>
      </c>
      <c r="D393">
        <v>469.9373516</v>
      </c>
      <c r="E393">
        <v>469.60921130000003</v>
      </c>
    </row>
    <row r="394" spans="2:5" x14ac:dyDescent="0.3">
      <c r="B394">
        <v>463.90103028251667</v>
      </c>
      <c r="C394">
        <v>463.49598218950496</v>
      </c>
      <c r="D394">
        <v>470.19985609999998</v>
      </c>
      <c r="E394">
        <v>469.57981799999999</v>
      </c>
    </row>
    <row r="395" spans="2:5" x14ac:dyDescent="0.3">
      <c r="B395">
        <v>471.66258886918303</v>
      </c>
      <c r="C395">
        <v>451.85680424207305</v>
      </c>
      <c r="D395">
        <v>470.2778088</v>
      </c>
      <c r="E395">
        <v>469.65869450000002</v>
      </c>
    </row>
    <row r="396" spans="2:5" x14ac:dyDescent="0.3">
      <c r="B396">
        <v>450.17791997652245</v>
      </c>
      <c r="C396">
        <v>467.26359819053573</v>
      </c>
      <c r="D396">
        <v>470.23302480000001</v>
      </c>
      <c r="E396">
        <v>469.56724129999998</v>
      </c>
    </row>
    <row r="397" spans="2:5" x14ac:dyDescent="0.3">
      <c r="B397">
        <v>466.39724658941685</v>
      </c>
      <c r="C397">
        <v>468.0016891178629</v>
      </c>
      <c r="D397">
        <v>470.282554</v>
      </c>
      <c r="E397">
        <v>469.60744099999999</v>
      </c>
    </row>
    <row r="398" spans="2:5" x14ac:dyDescent="0.3">
      <c r="B398">
        <v>466.77983369293361</v>
      </c>
      <c r="C398">
        <v>461.82023909435168</v>
      </c>
      <c r="D398">
        <v>470.1766351</v>
      </c>
      <c r="E398">
        <v>469.6380954</v>
      </c>
    </row>
    <row r="399" spans="2:5" x14ac:dyDescent="0.3">
      <c r="B399">
        <v>463.43425150301414</v>
      </c>
      <c r="C399">
        <v>465.24953390919461</v>
      </c>
      <c r="D399">
        <v>469.9895985</v>
      </c>
      <c r="E399">
        <v>469.61049250000002</v>
      </c>
    </row>
    <row r="400" spans="2:5" x14ac:dyDescent="0.3">
      <c r="B400">
        <v>466.90151417826331</v>
      </c>
      <c r="C400">
        <v>463.45936463800513</v>
      </c>
      <c r="D400">
        <v>470.16449069999999</v>
      </c>
      <c r="E400">
        <v>469.6354733</v>
      </c>
    </row>
    <row r="401" spans="2:5" x14ac:dyDescent="0.3">
      <c r="B401">
        <v>450.35529649027876</v>
      </c>
      <c r="C401">
        <v>464.81129698562546</v>
      </c>
      <c r="D401">
        <v>470.18127170000002</v>
      </c>
      <c r="E401">
        <v>469.64615040000001</v>
      </c>
    </row>
    <row r="402" spans="2:5" x14ac:dyDescent="0.3">
      <c r="B402">
        <v>456.61316133070568</v>
      </c>
      <c r="C402">
        <v>464.70815892991959</v>
      </c>
      <c r="D402">
        <v>470.01249949999999</v>
      </c>
      <c r="E402">
        <v>469.63787610000003</v>
      </c>
    </row>
    <row r="403" spans="2:5" x14ac:dyDescent="0.3">
      <c r="B403">
        <v>459.21236077859538</v>
      </c>
      <c r="C403">
        <v>467.1815251682757</v>
      </c>
      <c r="D403">
        <v>470.1041884</v>
      </c>
      <c r="E403">
        <v>469.61240199999997</v>
      </c>
    </row>
    <row r="404" spans="2:5" x14ac:dyDescent="0.3">
      <c r="B404">
        <v>470.00404761638731</v>
      </c>
      <c r="C404">
        <v>474.36101806387489</v>
      </c>
      <c r="D404">
        <v>470.1078344</v>
      </c>
      <c r="E404">
        <v>469.61932589999998</v>
      </c>
    </row>
    <row r="405" spans="2:5" x14ac:dyDescent="0.3">
      <c r="B405">
        <v>470.43183779269407</v>
      </c>
      <c r="C405">
        <v>465.28820597675752</v>
      </c>
      <c r="D405">
        <v>470.06632359999998</v>
      </c>
      <c r="E405">
        <v>469.70054620000002</v>
      </c>
    </row>
    <row r="406" spans="2:5" x14ac:dyDescent="0.3">
      <c r="B406">
        <v>470.35910891598598</v>
      </c>
      <c r="C406">
        <v>466.10228770601486</v>
      </c>
      <c r="D406">
        <v>470.209903</v>
      </c>
      <c r="E406">
        <v>469.74573229999999</v>
      </c>
    </row>
    <row r="407" spans="2:5" x14ac:dyDescent="0.3">
      <c r="B407">
        <v>463.89979713205332</v>
      </c>
      <c r="C407">
        <v>459.23362076100994</v>
      </c>
      <c r="D407">
        <v>469.9830025</v>
      </c>
      <c r="E407">
        <v>469.7174473</v>
      </c>
    </row>
    <row r="408" spans="2:5" x14ac:dyDescent="0.3">
      <c r="B408">
        <v>462.86042964862253</v>
      </c>
      <c r="C408">
        <v>462.23264625484074</v>
      </c>
      <c r="D408">
        <v>470.12753079999999</v>
      </c>
      <c r="E408">
        <v>469.56883010000001</v>
      </c>
    </row>
    <row r="409" spans="2:5" x14ac:dyDescent="0.3">
      <c r="B409">
        <v>459.96484642423638</v>
      </c>
      <c r="C409">
        <v>469.16563952793115</v>
      </c>
      <c r="D409">
        <v>470.25896010000002</v>
      </c>
      <c r="E409">
        <v>469.47599020000001</v>
      </c>
    </row>
    <row r="410" spans="2:5" x14ac:dyDescent="0.3">
      <c r="B410">
        <v>479.89138034010142</v>
      </c>
      <c r="C410">
        <v>473.61063774413782</v>
      </c>
      <c r="D410">
        <v>470.01225369999997</v>
      </c>
      <c r="E410">
        <v>469.56172609999999</v>
      </c>
    </row>
    <row r="411" spans="2:5" x14ac:dyDescent="0.3">
      <c r="B411">
        <v>461.04705695859292</v>
      </c>
      <c r="C411">
        <v>463.38034675768972</v>
      </c>
      <c r="D411">
        <v>470.0845223</v>
      </c>
      <c r="E411">
        <v>469.52737869999999</v>
      </c>
    </row>
    <row r="412" spans="2:5" x14ac:dyDescent="0.3">
      <c r="B412">
        <v>465.39906842759353</v>
      </c>
      <c r="C412">
        <v>460.51152284846677</v>
      </c>
      <c r="D412">
        <v>470.08252640000001</v>
      </c>
      <c r="E412">
        <v>469.60733290000002</v>
      </c>
    </row>
    <row r="413" spans="2:5" x14ac:dyDescent="0.3">
      <c r="B413">
        <v>470.57472303583461</v>
      </c>
      <c r="C413">
        <v>464.07594279123532</v>
      </c>
      <c r="D413">
        <v>470.21718479999998</v>
      </c>
      <c r="E413">
        <v>469.56300599999997</v>
      </c>
    </row>
    <row r="414" spans="2:5" x14ac:dyDescent="0.3">
      <c r="B414">
        <v>470.95030209546479</v>
      </c>
      <c r="C414">
        <v>460.38053332206363</v>
      </c>
      <c r="D414">
        <v>470.09324379999998</v>
      </c>
      <c r="E414">
        <v>469.57230870000001</v>
      </c>
    </row>
    <row r="415" spans="2:5" x14ac:dyDescent="0.3">
      <c r="B415">
        <v>470.65424490811159</v>
      </c>
      <c r="C415">
        <v>470.26928773622222</v>
      </c>
      <c r="D415">
        <v>470.14207850000003</v>
      </c>
      <c r="E415">
        <v>469.56888379999998</v>
      </c>
    </row>
    <row r="416" spans="2:5" x14ac:dyDescent="0.3">
      <c r="B416">
        <v>470.12964596150306</v>
      </c>
      <c r="C416">
        <v>467.24992573589952</v>
      </c>
      <c r="D416">
        <v>470.10726879999999</v>
      </c>
      <c r="E416">
        <v>469.675183</v>
      </c>
    </row>
    <row r="417" spans="2:5" x14ac:dyDescent="0.3">
      <c r="B417">
        <v>461.45854584376588</v>
      </c>
      <c r="C417">
        <v>462.56623878760945</v>
      </c>
      <c r="D417">
        <v>470.07574319999998</v>
      </c>
      <c r="E417">
        <v>469.67941980000001</v>
      </c>
    </row>
    <row r="418" spans="2:5" x14ac:dyDescent="0.3">
      <c r="B418">
        <v>458.88321521712811</v>
      </c>
      <c r="C418">
        <v>463.85349001619721</v>
      </c>
      <c r="D418">
        <v>470.21049269999997</v>
      </c>
      <c r="E418">
        <v>469.6649501</v>
      </c>
    </row>
    <row r="419" spans="2:5" x14ac:dyDescent="0.3">
      <c r="B419">
        <v>475.31745339374953</v>
      </c>
      <c r="C419">
        <v>471.96253482801808</v>
      </c>
      <c r="D419">
        <v>470.18185849999998</v>
      </c>
      <c r="E419">
        <v>469.65433669999999</v>
      </c>
    </row>
    <row r="420" spans="2:5" x14ac:dyDescent="0.3">
      <c r="B420">
        <v>469.93948046067896</v>
      </c>
      <c r="C420">
        <v>471.45171994807839</v>
      </c>
      <c r="D420">
        <v>470.22141829999998</v>
      </c>
      <c r="E420">
        <v>469.69650660000002</v>
      </c>
    </row>
    <row r="421" spans="2:5" x14ac:dyDescent="0.3">
      <c r="B421">
        <v>461.148063813043</v>
      </c>
      <c r="C421">
        <v>469.46826919740909</v>
      </c>
      <c r="D421">
        <v>470.1685569</v>
      </c>
      <c r="E421">
        <v>469.54430580000002</v>
      </c>
    </row>
    <row r="422" spans="2:5" x14ac:dyDescent="0.3">
      <c r="B422">
        <v>445.71643430063148</v>
      </c>
      <c r="C422">
        <v>469.67892052882678</v>
      </c>
      <c r="D422">
        <v>470.0478718</v>
      </c>
      <c r="E422">
        <v>469.6088694</v>
      </c>
    </row>
    <row r="423" spans="2:5" x14ac:dyDescent="0.3">
      <c r="B423">
        <v>465.01895761071546</v>
      </c>
      <c r="C423">
        <v>470.35553430162531</v>
      </c>
      <c r="D423">
        <v>470.02122600000001</v>
      </c>
      <c r="E423">
        <v>469.71392509999998</v>
      </c>
    </row>
    <row r="424" spans="2:5" x14ac:dyDescent="0.3">
      <c r="B424">
        <v>468.03437581666526</v>
      </c>
      <c r="C424">
        <v>464.46122519238384</v>
      </c>
      <c r="D424">
        <v>470.2493872</v>
      </c>
      <c r="E424">
        <v>469.61729359999998</v>
      </c>
    </row>
    <row r="425" spans="2:5" x14ac:dyDescent="0.3">
      <c r="B425">
        <v>481.28308583783252</v>
      </c>
      <c r="C425">
        <v>472.97702452476642</v>
      </c>
      <c r="D425">
        <v>470.14122450000002</v>
      </c>
      <c r="E425">
        <v>469.72621789999999</v>
      </c>
    </row>
    <row r="426" spans="2:5" x14ac:dyDescent="0.3">
      <c r="B426">
        <v>461.45612467594827</v>
      </c>
      <c r="C426">
        <v>464.02945791960803</v>
      </c>
      <c r="D426">
        <v>470.13968849999998</v>
      </c>
      <c r="E426">
        <v>469.59443520000002</v>
      </c>
    </row>
    <row r="427" spans="2:5" x14ac:dyDescent="0.3">
      <c r="B427">
        <v>463.83911805794207</v>
      </c>
      <c r="C427">
        <v>468.8119143456243</v>
      </c>
      <c r="D427">
        <v>470.15753810000001</v>
      </c>
      <c r="E427">
        <v>469.68836299999998</v>
      </c>
    </row>
    <row r="428" spans="2:5" x14ac:dyDescent="0.3">
      <c r="B428">
        <v>454.6055202655092</v>
      </c>
      <c r="C428">
        <v>470.18543390257037</v>
      </c>
      <c r="D428">
        <v>470.16050610000002</v>
      </c>
      <c r="E428">
        <v>469.6589975</v>
      </c>
    </row>
    <row r="429" spans="2:5" x14ac:dyDescent="0.3">
      <c r="B429">
        <v>465.5598710243799</v>
      </c>
      <c r="C429">
        <v>464.91447954464172</v>
      </c>
      <c r="D429">
        <v>470.14654860000002</v>
      </c>
      <c r="E429">
        <v>469.67459220000001</v>
      </c>
    </row>
    <row r="430" spans="2:5" x14ac:dyDescent="0.3">
      <c r="B430">
        <v>474.85880688485202</v>
      </c>
      <c r="C430">
        <v>467.15775171217507</v>
      </c>
      <c r="D430">
        <v>470.15854739999997</v>
      </c>
      <c r="E430">
        <v>469.65097370000001</v>
      </c>
    </row>
    <row r="431" spans="2:5" x14ac:dyDescent="0.3">
      <c r="B431">
        <v>476.66333544321981</v>
      </c>
      <c r="C431">
        <v>460.19183037489631</v>
      </c>
      <c r="D431">
        <v>470.09802389999999</v>
      </c>
      <c r="E431">
        <v>469.63405840000001</v>
      </c>
    </row>
    <row r="432" spans="2:5" x14ac:dyDescent="0.3">
      <c r="B432">
        <v>476.14596103110671</v>
      </c>
      <c r="C432">
        <v>459.3288281767704</v>
      </c>
      <c r="D432">
        <v>470.34228250000001</v>
      </c>
      <c r="E432">
        <v>469.54807649999998</v>
      </c>
    </row>
    <row r="433" spans="2:5" x14ac:dyDescent="0.3">
      <c r="B433">
        <v>465.4650764954356</v>
      </c>
      <c r="C433">
        <v>467.52935784259563</v>
      </c>
      <c r="D433">
        <v>470.07334350000002</v>
      </c>
      <c r="E433">
        <v>469.70104579999997</v>
      </c>
    </row>
    <row r="434" spans="2:5" x14ac:dyDescent="0.3">
      <c r="B434">
        <v>462.96913223750767</v>
      </c>
      <c r="C434">
        <v>464.37925873742836</v>
      </c>
      <c r="D434">
        <v>470.03899469999999</v>
      </c>
      <c r="E434">
        <v>469.70525789999999</v>
      </c>
    </row>
    <row r="435" spans="2:5" x14ac:dyDescent="0.3">
      <c r="B435">
        <v>476.75677118120251</v>
      </c>
      <c r="C435">
        <v>474.71084053669847</v>
      </c>
      <c r="D435">
        <v>470.2409619</v>
      </c>
      <c r="E435">
        <v>469.55809410000001</v>
      </c>
    </row>
    <row r="436" spans="2:5" x14ac:dyDescent="0.3">
      <c r="B436">
        <v>469.25948839230603</v>
      </c>
      <c r="C436">
        <v>480.95931039657216</v>
      </c>
      <c r="D436">
        <v>469.9790352</v>
      </c>
      <c r="E436">
        <v>469.66055060000002</v>
      </c>
    </row>
    <row r="437" spans="2:5" x14ac:dyDescent="0.3">
      <c r="B437">
        <v>461.00453831630341</v>
      </c>
      <c r="C437">
        <v>471.35571603758672</v>
      </c>
      <c r="D437">
        <v>470.25675960000001</v>
      </c>
      <c r="E437">
        <v>469.64791539999999</v>
      </c>
    </row>
    <row r="438" spans="2:5" x14ac:dyDescent="0.3">
      <c r="B438">
        <v>457.68555660648894</v>
      </c>
      <c r="C438">
        <v>472.98841399695692</v>
      </c>
      <c r="D438">
        <v>469.9155839</v>
      </c>
      <c r="E438">
        <v>469.67164489999999</v>
      </c>
    </row>
    <row r="439" spans="2:5" x14ac:dyDescent="0.3">
      <c r="B439">
        <v>476.05070115232132</v>
      </c>
      <c r="C439">
        <v>463.72576011718775</v>
      </c>
      <c r="D439">
        <v>470.00893350000001</v>
      </c>
      <c r="E439">
        <v>469.51763570000003</v>
      </c>
    </row>
    <row r="440" spans="2:5" x14ac:dyDescent="0.3">
      <c r="B440">
        <v>476.77468342593016</v>
      </c>
      <c r="C440">
        <v>462.53322558691923</v>
      </c>
      <c r="D440">
        <v>470.10998360000002</v>
      </c>
      <c r="E440">
        <v>469.62601619999998</v>
      </c>
    </row>
    <row r="441" spans="2:5" x14ac:dyDescent="0.3">
      <c r="B441">
        <v>462.12781391003358</v>
      </c>
      <c r="C441">
        <v>464.90028125849176</v>
      </c>
      <c r="D441">
        <v>469.99135089999999</v>
      </c>
      <c r="E441">
        <v>469.71530769999998</v>
      </c>
    </row>
    <row r="442" spans="2:5" x14ac:dyDescent="0.3">
      <c r="B442">
        <v>478.0701331757241</v>
      </c>
      <c r="C442">
        <v>470.32055104163186</v>
      </c>
      <c r="D442">
        <v>470.07661030000003</v>
      </c>
      <c r="E442">
        <v>469.57500549999997</v>
      </c>
    </row>
    <row r="443" spans="2:5" x14ac:dyDescent="0.3">
      <c r="B443">
        <v>481.00828980719172</v>
      </c>
      <c r="C443">
        <v>469.15354001687825</v>
      </c>
      <c r="D443">
        <v>470.17127570000002</v>
      </c>
      <c r="E443">
        <v>469.661114</v>
      </c>
    </row>
    <row r="444" spans="2:5" x14ac:dyDescent="0.3">
      <c r="B444">
        <v>452.42545704544392</v>
      </c>
      <c r="C444">
        <v>461.16134450692027</v>
      </c>
      <c r="D444">
        <v>470.13985029999998</v>
      </c>
      <c r="E444">
        <v>469.66095819999998</v>
      </c>
    </row>
    <row r="445" spans="2:5" x14ac:dyDescent="0.3">
      <c r="B445">
        <v>477.33788890475557</v>
      </c>
      <c r="C445">
        <v>459.55190854433545</v>
      </c>
      <c r="D445">
        <v>470.05423180000003</v>
      </c>
      <c r="E445">
        <v>469.595348</v>
      </c>
    </row>
    <row r="446" spans="2:5" x14ac:dyDescent="0.3">
      <c r="B446">
        <v>471.6495345822853</v>
      </c>
      <c r="C446">
        <v>466.35244674090956</v>
      </c>
      <c r="D446">
        <v>470.18155460000003</v>
      </c>
      <c r="E446">
        <v>469.57004990000001</v>
      </c>
    </row>
    <row r="447" spans="2:5" x14ac:dyDescent="0.3">
      <c r="B447">
        <v>470.53861826331843</v>
      </c>
      <c r="C447">
        <v>463.88534139181291</v>
      </c>
      <c r="D447">
        <v>470.16610209999999</v>
      </c>
      <c r="E447">
        <v>469.62738960000001</v>
      </c>
    </row>
    <row r="448" spans="2:5" x14ac:dyDescent="0.3">
      <c r="B448">
        <v>463.8236652633812</v>
      </c>
      <c r="C448">
        <v>477.36999246722257</v>
      </c>
      <c r="D448">
        <v>470.03561159999998</v>
      </c>
      <c r="E448">
        <v>469.66467920000002</v>
      </c>
    </row>
    <row r="449" spans="2:5" x14ac:dyDescent="0.3">
      <c r="B449">
        <v>445.34180377394142</v>
      </c>
      <c r="C449">
        <v>464.21092079411778</v>
      </c>
      <c r="D449">
        <v>470.09479119999997</v>
      </c>
      <c r="E449">
        <v>469.64049899999998</v>
      </c>
    </row>
    <row r="450" spans="2:5" x14ac:dyDescent="0.3">
      <c r="B450">
        <v>460.81531630349622</v>
      </c>
      <c r="C450">
        <v>472.16237592093825</v>
      </c>
      <c r="D450">
        <v>470.12089839999999</v>
      </c>
      <c r="E450">
        <v>469.61481859999998</v>
      </c>
    </row>
    <row r="451" spans="2:5" x14ac:dyDescent="0.3">
      <c r="B451">
        <v>452.02458218043796</v>
      </c>
      <c r="C451">
        <v>466.1746379052201</v>
      </c>
      <c r="D451">
        <v>470.12309749999997</v>
      </c>
      <c r="E451">
        <v>469.60765129999999</v>
      </c>
    </row>
    <row r="452" spans="2:5" x14ac:dyDescent="0.3">
      <c r="B452">
        <v>466.24910922273932</v>
      </c>
      <c r="C452">
        <v>476.13940203648195</v>
      </c>
      <c r="D452">
        <v>470.26051580000001</v>
      </c>
      <c r="E452">
        <v>469.53361530000001</v>
      </c>
    </row>
    <row r="453" spans="2:5" x14ac:dyDescent="0.3">
      <c r="B453">
        <v>464.50636129584871</v>
      </c>
      <c r="C453">
        <v>473.15510197243992</v>
      </c>
      <c r="D453">
        <v>470.19889699999999</v>
      </c>
      <c r="E453">
        <v>469.61961480000002</v>
      </c>
    </row>
    <row r="454" spans="2:5" x14ac:dyDescent="0.3">
      <c r="B454">
        <v>472.20438903726335</v>
      </c>
      <c r="C454">
        <v>464.10312951414477</v>
      </c>
      <c r="D454">
        <v>470.02845530000002</v>
      </c>
      <c r="E454">
        <v>469.76211599999999</v>
      </c>
    </row>
    <row r="455" spans="2:5" x14ac:dyDescent="0.3">
      <c r="B455">
        <v>458.89069669559899</v>
      </c>
      <c r="C455">
        <v>466.9420954927192</v>
      </c>
      <c r="D455">
        <v>470.06773279999999</v>
      </c>
      <c r="E455">
        <v>469.6882458</v>
      </c>
    </row>
    <row r="456" spans="2:5" x14ac:dyDescent="0.3">
      <c r="B456">
        <v>488.89901272368104</v>
      </c>
      <c r="C456">
        <v>469.29670543403898</v>
      </c>
      <c r="D456">
        <v>470.00909639999998</v>
      </c>
      <c r="E456">
        <v>469.5997228</v>
      </c>
    </row>
    <row r="457" spans="2:5" x14ac:dyDescent="0.3">
      <c r="B457">
        <v>460.75564784891753</v>
      </c>
      <c r="C457">
        <v>477.5503791010932</v>
      </c>
      <c r="D457">
        <v>470.18878619999998</v>
      </c>
      <c r="E457">
        <v>469.5514374</v>
      </c>
    </row>
    <row r="458" spans="2:5" x14ac:dyDescent="0.3">
      <c r="B458">
        <v>450.72545870862814</v>
      </c>
      <c r="C458">
        <v>461.60702901418313</v>
      </c>
      <c r="D458">
        <v>470.16712439999998</v>
      </c>
      <c r="E458">
        <v>469.66230130000002</v>
      </c>
    </row>
    <row r="459" spans="2:5" x14ac:dyDescent="0.3">
      <c r="B459">
        <v>461.97792980472235</v>
      </c>
      <c r="C459">
        <v>476.9877790771618</v>
      </c>
      <c r="D459">
        <v>470.04768739999997</v>
      </c>
      <c r="E459">
        <v>469.71237430000002</v>
      </c>
    </row>
    <row r="460" spans="2:5" x14ac:dyDescent="0.3">
      <c r="B460">
        <v>466.17504884709439</v>
      </c>
      <c r="C460">
        <v>468.30645780640168</v>
      </c>
      <c r="D460">
        <v>470.14234119999998</v>
      </c>
      <c r="E460">
        <v>469.68131849999997</v>
      </c>
    </row>
    <row r="461" spans="2:5" x14ac:dyDescent="0.3">
      <c r="B461">
        <v>472.95203671960462</v>
      </c>
      <c r="C461">
        <v>479.92650670223094</v>
      </c>
      <c r="D461">
        <v>470.03634970000002</v>
      </c>
      <c r="E461">
        <v>469.65652920000002</v>
      </c>
    </row>
    <row r="462" spans="2:5" x14ac:dyDescent="0.3">
      <c r="B462">
        <v>466.03641087050619</v>
      </c>
      <c r="C462">
        <v>474.56476585567088</v>
      </c>
      <c r="D462">
        <v>470.1237994</v>
      </c>
      <c r="E462">
        <v>469.65060469999997</v>
      </c>
    </row>
    <row r="463" spans="2:5" x14ac:dyDescent="0.3">
      <c r="B463">
        <v>474.12228056437925</v>
      </c>
      <c r="C463">
        <v>462.63753083887019</v>
      </c>
      <c r="D463">
        <v>470.19157969999998</v>
      </c>
      <c r="E463">
        <v>469.74839539999999</v>
      </c>
    </row>
    <row r="464" spans="2:5" x14ac:dyDescent="0.3">
      <c r="B464">
        <v>459.39875434589288</v>
      </c>
      <c r="C464">
        <v>475.06479223320332</v>
      </c>
      <c r="D464">
        <v>470.06907819999998</v>
      </c>
      <c r="E464">
        <v>469.66046949999998</v>
      </c>
    </row>
    <row r="465" spans="2:5" x14ac:dyDescent="0.3">
      <c r="B465">
        <v>456.68967823578157</v>
      </c>
      <c r="C465">
        <v>474.01834401585216</v>
      </c>
      <c r="D465">
        <v>470.11096939999999</v>
      </c>
      <c r="E465">
        <v>469.66926919999997</v>
      </c>
    </row>
    <row r="466" spans="2:5" x14ac:dyDescent="0.3">
      <c r="B466">
        <v>460.94665597065045</v>
      </c>
      <c r="C466">
        <v>469.97913467969408</v>
      </c>
      <c r="D466">
        <v>470.11797100000001</v>
      </c>
      <c r="E466">
        <v>469.64655520000002</v>
      </c>
    </row>
    <row r="467" spans="2:5" x14ac:dyDescent="0.3">
      <c r="B467">
        <v>461.98305062924783</v>
      </c>
      <c r="C467">
        <v>473.7208370992177</v>
      </c>
      <c r="D467">
        <v>470.08277149999998</v>
      </c>
      <c r="E467">
        <v>469.55792910000002</v>
      </c>
    </row>
    <row r="468" spans="2:5" x14ac:dyDescent="0.3">
      <c r="B468">
        <v>465.80045572775663</v>
      </c>
      <c r="C468">
        <v>462.99070357610924</v>
      </c>
      <c r="D468">
        <v>470.03412680000002</v>
      </c>
      <c r="E468">
        <v>469.67485269999997</v>
      </c>
    </row>
    <row r="469" spans="2:5" x14ac:dyDescent="0.3">
      <c r="B469">
        <v>459.17435887108189</v>
      </c>
      <c r="C469">
        <v>456.5994045589938</v>
      </c>
      <c r="D469">
        <v>470.2204547</v>
      </c>
      <c r="E469">
        <v>469.56802019999998</v>
      </c>
    </row>
    <row r="470" spans="2:5" x14ac:dyDescent="0.3">
      <c r="B470">
        <v>459.59886584547831</v>
      </c>
      <c r="C470">
        <v>462.72823439547938</v>
      </c>
      <c r="D470">
        <v>470.22529889999998</v>
      </c>
      <c r="E470">
        <v>469.69426290000001</v>
      </c>
    </row>
    <row r="471" spans="2:5" x14ac:dyDescent="0.3">
      <c r="B471">
        <v>481.72985660950053</v>
      </c>
      <c r="C471">
        <v>466.92216146741742</v>
      </c>
      <c r="D471">
        <v>470.33673069999998</v>
      </c>
      <c r="E471">
        <v>469.55228679999999</v>
      </c>
    </row>
    <row r="472" spans="2:5" x14ac:dyDescent="0.3">
      <c r="B472">
        <v>469.48258309873097</v>
      </c>
      <c r="C472">
        <v>467.33892611942946</v>
      </c>
      <c r="D472">
        <v>470.14781629999999</v>
      </c>
      <c r="E472">
        <v>469.58852769999999</v>
      </c>
    </row>
    <row r="473" spans="2:5" x14ac:dyDescent="0.3">
      <c r="B473">
        <v>445.42470215967398</v>
      </c>
      <c r="C473">
        <v>469.44658178951437</v>
      </c>
      <c r="D473">
        <v>470.10692369999998</v>
      </c>
      <c r="E473">
        <v>469.62085339999999</v>
      </c>
    </row>
    <row r="474" spans="2:5" x14ac:dyDescent="0.3">
      <c r="B474">
        <v>460.88399268402742</v>
      </c>
      <c r="C474">
        <v>463.59913718095879</v>
      </c>
      <c r="D474">
        <v>470.2440297</v>
      </c>
      <c r="E474">
        <v>469.62651319999998</v>
      </c>
    </row>
    <row r="475" spans="2:5" x14ac:dyDescent="0.3">
      <c r="B475">
        <v>451.25673729207529</v>
      </c>
      <c r="C475">
        <v>466.0044458091831</v>
      </c>
      <c r="D475">
        <v>470.15576909999999</v>
      </c>
      <c r="E475">
        <v>469.66994310000001</v>
      </c>
    </row>
    <row r="476" spans="2:5" x14ac:dyDescent="0.3">
      <c r="B476">
        <v>472.11977700691591</v>
      </c>
      <c r="C476">
        <v>469.66834818499501</v>
      </c>
      <c r="D476">
        <v>470.20328990000002</v>
      </c>
      <c r="E476">
        <v>469.63756050000001</v>
      </c>
    </row>
    <row r="477" spans="2:5" x14ac:dyDescent="0.3">
      <c r="B477">
        <v>451.89321037941608</v>
      </c>
      <c r="C477">
        <v>464.65131719329605</v>
      </c>
      <c r="D477">
        <v>470.12970009999998</v>
      </c>
      <c r="E477">
        <v>469.64910789999999</v>
      </c>
    </row>
    <row r="478" spans="2:5" x14ac:dyDescent="0.3">
      <c r="B478">
        <v>449.92444360736943</v>
      </c>
      <c r="C478">
        <v>463.87590897486018</v>
      </c>
      <c r="D478">
        <v>470.18633740000001</v>
      </c>
      <c r="E478">
        <v>469.57631129999999</v>
      </c>
    </row>
    <row r="479" spans="2:5" x14ac:dyDescent="0.3">
      <c r="B479">
        <v>451.51706355976461</v>
      </c>
      <c r="C479">
        <v>462.98543647574996</v>
      </c>
      <c r="D479">
        <v>470.1291933</v>
      </c>
      <c r="E479">
        <v>469.6049198</v>
      </c>
    </row>
    <row r="480" spans="2:5" x14ac:dyDescent="0.3">
      <c r="B480">
        <v>457.29475400477025</v>
      </c>
      <c r="C480">
        <v>474.08107179769576</v>
      </c>
      <c r="D480">
        <v>470.1271054</v>
      </c>
      <c r="E480">
        <v>469.70442650000001</v>
      </c>
    </row>
    <row r="481" spans="2:5" x14ac:dyDescent="0.3">
      <c r="B481">
        <v>457.01555051869138</v>
      </c>
      <c r="C481">
        <v>464.83596595597044</v>
      </c>
      <c r="D481">
        <v>470.04358930000001</v>
      </c>
      <c r="E481">
        <v>469.6469687</v>
      </c>
    </row>
    <row r="482" spans="2:5" x14ac:dyDescent="0.3">
      <c r="B482">
        <v>467.14421896642779</v>
      </c>
      <c r="C482">
        <v>464.52013908267469</v>
      </c>
      <c r="D482">
        <v>470.06716319999998</v>
      </c>
      <c r="E482">
        <v>469.66040379999998</v>
      </c>
    </row>
    <row r="483" spans="2:5" x14ac:dyDescent="0.3">
      <c r="B483">
        <v>481.77467159456523</v>
      </c>
      <c r="C483">
        <v>467.60460768404624</v>
      </c>
      <c r="D483">
        <v>470.19319480000001</v>
      </c>
      <c r="E483">
        <v>469.6133456</v>
      </c>
    </row>
    <row r="484" spans="2:5" x14ac:dyDescent="0.3">
      <c r="B484">
        <v>464.87167440862828</v>
      </c>
      <c r="C484">
        <v>469.16769220508502</v>
      </c>
      <c r="D484">
        <v>470.02257859999997</v>
      </c>
      <c r="E484">
        <v>469.46614119999998</v>
      </c>
    </row>
    <row r="485" spans="2:5" x14ac:dyDescent="0.3">
      <c r="B485">
        <v>479.15089633198801</v>
      </c>
      <c r="C485">
        <v>469.09055214711697</v>
      </c>
      <c r="D485">
        <v>470.0844606</v>
      </c>
      <c r="E485">
        <v>469.55275690000002</v>
      </c>
    </row>
    <row r="486" spans="2:5" x14ac:dyDescent="0.3">
      <c r="B486">
        <v>481.59929871156623</v>
      </c>
      <c r="C486">
        <v>462.44366226281596</v>
      </c>
      <c r="D486">
        <v>470.03475639999999</v>
      </c>
      <c r="E486">
        <v>469.66659729999998</v>
      </c>
    </row>
    <row r="487" spans="2:5" x14ac:dyDescent="0.3">
      <c r="B487">
        <v>460.21829883454529</v>
      </c>
      <c r="C487">
        <v>472.53105978142827</v>
      </c>
      <c r="D487">
        <v>470.06532829999998</v>
      </c>
      <c r="E487">
        <v>469.62520540000003</v>
      </c>
    </row>
    <row r="488" spans="2:5" x14ac:dyDescent="0.3">
      <c r="B488">
        <v>464.94045894972265</v>
      </c>
      <c r="C488">
        <v>463.58283207049925</v>
      </c>
      <c r="D488">
        <v>470.0903338</v>
      </c>
      <c r="E488">
        <v>469.51061920000001</v>
      </c>
    </row>
    <row r="489" spans="2:5" x14ac:dyDescent="0.3">
      <c r="B489">
        <v>456.15139373847222</v>
      </c>
      <c r="C489">
        <v>465.61837002302349</v>
      </c>
      <c r="D489">
        <v>470.01240969999998</v>
      </c>
      <c r="E489">
        <v>469.58029720000002</v>
      </c>
    </row>
    <row r="490" spans="2:5" x14ac:dyDescent="0.3">
      <c r="B490">
        <v>475.25071177913549</v>
      </c>
      <c r="C490">
        <v>462.26509991021453</v>
      </c>
      <c r="D490">
        <v>470.17562429999998</v>
      </c>
      <c r="E490">
        <v>469.56050720000002</v>
      </c>
    </row>
    <row r="491" spans="2:5" x14ac:dyDescent="0.3">
      <c r="B491">
        <v>463.45297706210062</v>
      </c>
      <c r="C491">
        <v>476.56288734095045</v>
      </c>
      <c r="D491">
        <v>470.13363859999998</v>
      </c>
      <c r="E491">
        <v>469.55958450000003</v>
      </c>
    </row>
    <row r="492" spans="2:5" x14ac:dyDescent="0.3">
      <c r="B492">
        <v>477.02279585211448</v>
      </c>
      <c r="C492">
        <v>465.86278170470632</v>
      </c>
      <c r="D492">
        <v>470.16924640000002</v>
      </c>
      <c r="E492">
        <v>469.6970819</v>
      </c>
    </row>
    <row r="493" spans="2:5" x14ac:dyDescent="0.3">
      <c r="B493">
        <v>470.10847542365258</v>
      </c>
      <c r="C493">
        <v>467.12217968338626</v>
      </c>
      <c r="D493">
        <v>469.98988650000001</v>
      </c>
      <c r="E493">
        <v>469.59413180000001</v>
      </c>
    </row>
    <row r="494" spans="2:5" x14ac:dyDescent="0.3">
      <c r="B494">
        <v>479.31039829700785</v>
      </c>
      <c r="C494">
        <v>464.63865744951937</v>
      </c>
      <c r="D494">
        <v>470.16005080000002</v>
      </c>
      <c r="E494">
        <v>469.60820890000002</v>
      </c>
    </row>
    <row r="495" spans="2:5" x14ac:dyDescent="0.3">
      <c r="B495">
        <v>464.37192783289669</v>
      </c>
      <c r="C495">
        <v>471.07872702349476</v>
      </c>
      <c r="D495">
        <v>470.18060229999998</v>
      </c>
      <c r="E495">
        <v>469.63056060000002</v>
      </c>
    </row>
    <row r="496" spans="2:5" x14ac:dyDescent="0.3">
      <c r="B496">
        <v>467.11609076041685</v>
      </c>
      <c r="C496">
        <v>466.78477211098129</v>
      </c>
      <c r="D496">
        <v>470.00725180000001</v>
      </c>
      <c r="E496">
        <v>469.60665820000003</v>
      </c>
    </row>
    <row r="497" spans="2:5" x14ac:dyDescent="0.3">
      <c r="B497">
        <v>466.46841495738005</v>
      </c>
      <c r="C497">
        <v>466.90555767332927</v>
      </c>
      <c r="D497">
        <v>470.27685079999998</v>
      </c>
      <c r="E497">
        <v>469.57135629999999</v>
      </c>
    </row>
    <row r="498" spans="2:5" x14ac:dyDescent="0.3">
      <c r="B498">
        <v>477.96587846632463</v>
      </c>
      <c r="C498">
        <v>468.37088250875343</v>
      </c>
      <c r="D498">
        <v>470.16002859999998</v>
      </c>
      <c r="E498">
        <v>469.62864669999999</v>
      </c>
    </row>
    <row r="499" spans="2:5" x14ac:dyDescent="0.3">
      <c r="B499">
        <v>442.29768944126971</v>
      </c>
      <c r="C499">
        <v>466.63648807278292</v>
      </c>
      <c r="D499">
        <v>470.35699310000001</v>
      </c>
      <c r="E499">
        <v>469.68040860000002</v>
      </c>
    </row>
    <row r="500" spans="2:5" x14ac:dyDescent="0.3">
      <c r="B500">
        <v>457.44222912851285</v>
      </c>
      <c r="C500">
        <v>477.85988364863874</v>
      </c>
      <c r="D500">
        <v>470.00459510000002</v>
      </c>
      <c r="E500">
        <v>469.64212199999997</v>
      </c>
    </row>
    <row r="501" spans="2:5" x14ac:dyDescent="0.3">
      <c r="B501">
        <v>453.86916373953443</v>
      </c>
      <c r="C501">
        <v>480.54872402695372</v>
      </c>
      <c r="D501">
        <v>470.17265529999997</v>
      </c>
      <c r="E501">
        <v>469.57625880000001</v>
      </c>
    </row>
    <row r="502" spans="2:5" x14ac:dyDescent="0.3">
      <c r="B502">
        <v>462.59938193499988</v>
      </c>
      <c r="C502">
        <v>466.21943556288204</v>
      </c>
      <c r="D502">
        <v>470.14101360000001</v>
      </c>
      <c r="E502">
        <v>469.70571949999999</v>
      </c>
    </row>
    <row r="503" spans="2:5" x14ac:dyDescent="0.3">
      <c r="B503">
        <v>471.26387523710343</v>
      </c>
      <c r="C503">
        <v>463.21443542777496</v>
      </c>
      <c r="D503">
        <v>470.13984470000003</v>
      </c>
      <c r="E503">
        <v>469.76416669999998</v>
      </c>
    </row>
    <row r="504" spans="2:5" x14ac:dyDescent="0.3">
      <c r="B504">
        <v>476.65345710258259</v>
      </c>
      <c r="C504">
        <v>465.9984504290922</v>
      </c>
      <c r="D504">
        <v>470.11895179999999</v>
      </c>
      <c r="E504">
        <v>469.68823099999997</v>
      </c>
    </row>
    <row r="505" spans="2:5" x14ac:dyDescent="0.3">
      <c r="B505">
        <v>476.54161024681122</v>
      </c>
      <c r="C505">
        <v>474.12093622762836</v>
      </c>
      <c r="D505">
        <v>470.16673179999998</v>
      </c>
      <c r="E505">
        <v>469.68659910000002</v>
      </c>
    </row>
    <row r="506" spans="2:5" x14ac:dyDescent="0.3">
      <c r="B506">
        <v>458.53464369439649</v>
      </c>
      <c r="C506">
        <v>474.44094950557695</v>
      </c>
      <c r="D506">
        <v>470.16451339999998</v>
      </c>
      <c r="E506">
        <v>469.6037513</v>
      </c>
    </row>
    <row r="507" spans="2:5" x14ac:dyDescent="0.3">
      <c r="B507">
        <v>454.01380047461322</v>
      </c>
      <c r="C507">
        <v>450.75596115100336</v>
      </c>
      <c r="D507">
        <v>470.28912400000002</v>
      </c>
      <c r="E507">
        <v>469.56350209999999</v>
      </c>
    </row>
    <row r="508" spans="2:5" x14ac:dyDescent="0.3">
      <c r="B508">
        <v>463.58608593728388</v>
      </c>
      <c r="C508">
        <v>455.4442357376343</v>
      </c>
      <c r="D508">
        <v>470.16274629999998</v>
      </c>
      <c r="E508">
        <v>469.61297020000001</v>
      </c>
    </row>
    <row r="509" spans="2:5" x14ac:dyDescent="0.3">
      <c r="B509">
        <v>475.65655195224713</v>
      </c>
      <c r="C509">
        <v>474.19874495871801</v>
      </c>
      <c r="D509">
        <v>470.15491739999999</v>
      </c>
      <c r="E509">
        <v>469.65273869999999</v>
      </c>
    </row>
    <row r="510" spans="2:5" x14ac:dyDescent="0.3">
      <c r="B510">
        <v>456.93060894453163</v>
      </c>
      <c r="C510">
        <v>462.76545313130447</v>
      </c>
      <c r="D510">
        <v>470.15868940000001</v>
      </c>
      <c r="E510">
        <v>469.65187229999998</v>
      </c>
    </row>
    <row r="511" spans="2:5" x14ac:dyDescent="0.3">
      <c r="B511">
        <v>463.22771144149232</v>
      </c>
      <c r="C511">
        <v>469.25919296118491</v>
      </c>
      <c r="D511">
        <v>470.0919543</v>
      </c>
      <c r="E511">
        <v>469.6213032</v>
      </c>
    </row>
    <row r="512" spans="2:5" x14ac:dyDescent="0.3">
      <c r="B512">
        <v>466.64044357387871</v>
      </c>
      <c r="C512">
        <v>465.08461234030756</v>
      </c>
      <c r="D512">
        <v>470.15051899999997</v>
      </c>
      <c r="E512">
        <v>469.76942100000002</v>
      </c>
    </row>
    <row r="513" spans="2:5" x14ac:dyDescent="0.3">
      <c r="B513">
        <v>471.98322723413668</v>
      </c>
      <c r="C513">
        <v>465.77217059104657</v>
      </c>
      <c r="D513">
        <v>470.26395769999999</v>
      </c>
      <c r="E513">
        <v>469.65164659999999</v>
      </c>
    </row>
    <row r="514" spans="2:5" x14ac:dyDescent="0.3">
      <c r="B514">
        <v>462.59040714609552</v>
      </c>
      <c r="C514">
        <v>468.34935581082539</v>
      </c>
      <c r="D514">
        <v>470.05206500000003</v>
      </c>
      <c r="E514">
        <v>469.60233199999999</v>
      </c>
    </row>
    <row r="515" spans="2:5" x14ac:dyDescent="0.3">
      <c r="B515">
        <v>463.1579645285114</v>
      </c>
      <c r="C515">
        <v>464.91921256026944</v>
      </c>
      <c r="D515">
        <v>470.01149349999997</v>
      </c>
      <c r="E515">
        <v>469.61507210000002</v>
      </c>
    </row>
    <row r="516" spans="2:5" x14ac:dyDescent="0.3">
      <c r="B516">
        <v>458.08780906240037</v>
      </c>
      <c r="C516">
        <v>459.79829990575126</v>
      </c>
      <c r="D516">
        <v>469.98814010000001</v>
      </c>
      <c r="E516">
        <v>469.58657829999999</v>
      </c>
    </row>
    <row r="517" spans="2:5" x14ac:dyDescent="0.3">
      <c r="B517">
        <v>451.92744664346264</v>
      </c>
      <c r="C517">
        <v>463.92219114345585</v>
      </c>
      <c r="D517">
        <v>470.13279999999997</v>
      </c>
      <c r="E517">
        <v>469.5815139</v>
      </c>
    </row>
    <row r="518" spans="2:5" x14ac:dyDescent="0.3">
      <c r="B518">
        <v>482.56823045493729</v>
      </c>
      <c r="C518">
        <v>462.76994065382564</v>
      </c>
      <c r="D518">
        <v>470.1139786</v>
      </c>
      <c r="E518">
        <v>469.5961638</v>
      </c>
    </row>
    <row r="519" spans="2:5" x14ac:dyDescent="0.3">
      <c r="B519">
        <v>473.28285806812096</v>
      </c>
      <c r="C519">
        <v>462.05455991301943</v>
      </c>
      <c r="D519">
        <v>470.14621169999998</v>
      </c>
      <c r="E519">
        <v>469.64522670000002</v>
      </c>
    </row>
    <row r="520" spans="2:5" x14ac:dyDescent="0.3">
      <c r="B520">
        <v>479.83114506796545</v>
      </c>
      <c r="C520">
        <v>472.59459806448689</v>
      </c>
      <c r="D520">
        <v>470.21281759999999</v>
      </c>
      <c r="E520">
        <v>469.60048660000001</v>
      </c>
    </row>
    <row r="521" spans="2:5" x14ac:dyDescent="0.3">
      <c r="B521">
        <v>471.2404934365602</v>
      </c>
      <c r="C521">
        <v>466.41973306374763</v>
      </c>
      <c r="D521">
        <v>470.15674200000001</v>
      </c>
      <c r="E521">
        <v>469.55748039999997</v>
      </c>
    </row>
    <row r="522" spans="2:5" x14ac:dyDescent="0.3">
      <c r="B522">
        <v>476.81390554711811</v>
      </c>
      <c r="C522">
        <v>447.95477709728488</v>
      </c>
      <c r="D522">
        <v>470.23869769999999</v>
      </c>
      <c r="E522">
        <v>469.56726129999998</v>
      </c>
    </row>
    <row r="523" spans="2:5" x14ac:dyDescent="0.3">
      <c r="B523">
        <v>467.04305151539626</v>
      </c>
      <c r="C523">
        <v>463.96974751300417</v>
      </c>
      <c r="D523">
        <v>470.17726929999998</v>
      </c>
      <c r="E523">
        <v>469.58502950000002</v>
      </c>
    </row>
    <row r="524" spans="2:5" x14ac:dyDescent="0.3">
      <c r="B524">
        <v>452.64172853574178</v>
      </c>
      <c r="C524">
        <v>459.59013986613684</v>
      </c>
      <c r="D524">
        <v>470.21579860000003</v>
      </c>
      <c r="E524">
        <v>469.63269229999997</v>
      </c>
    </row>
    <row r="525" spans="2:5" x14ac:dyDescent="0.3">
      <c r="B525">
        <v>489.21356580331525</v>
      </c>
      <c r="C525">
        <v>478.53635700685589</v>
      </c>
      <c r="D525">
        <v>470.15879000000001</v>
      </c>
      <c r="E525">
        <v>469.60535670000002</v>
      </c>
    </row>
    <row r="526" spans="2:5" x14ac:dyDescent="0.3">
      <c r="B526">
        <v>474.54338850559014</v>
      </c>
      <c r="C526">
        <v>467.70951850892465</v>
      </c>
      <c r="D526">
        <v>470.18649540000001</v>
      </c>
      <c r="E526">
        <v>469.74452710000003</v>
      </c>
    </row>
    <row r="527" spans="2:5" x14ac:dyDescent="0.3">
      <c r="B527">
        <v>478.53612058016267</v>
      </c>
      <c r="C527">
        <v>461.43838054673012</v>
      </c>
      <c r="D527">
        <v>470.08002440000001</v>
      </c>
      <c r="E527">
        <v>469.53536250000002</v>
      </c>
    </row>
    <row r="528" spans="2:5" x14ac:dyDescent="0.3">
      <c r="B528">
        <v>467.06117112532183</v>
      </c>
      <c r="C528">
        <v>464.96586018021492</v>
      </c>
      <c r="D528">
        <v>470.03595689999997</v>
      </c>
      <c r="E528">
        <v>469.64258860000001</v>
      </c>
    </row>
    <row r="529" spans="2:5" x14ac:dyDescent="0.3">
      <c r="B529">
        <v>459.3078760340203</v>
      </c>
      <c r="C529">
        <v>465.68778340244148</v>
      </c>
      <c r="D529">
        <v>470.11476440000001</v>
      </c>
      <c r="E529">
        <v>469.66791910000001</v>
      </c>
    </row>
    <row r="530" spans="2:5" x14ac:dyDescent="0.3">
      <c r="B530">
        <v>464.65585001896818</v>
      </c>
      <c r="C530">
        <v>465.69578824365374</v>
      </c>
      <c r="D530">
        <v>470.02966020000002</v>
      </c>
      <c r="E530">
        <v>469.55714390000003</v>
      </c>
    </row>
    <row r="531" spans="2:5" x14ac:dyDescent="0.3">
      <c r="B531">
        <v>474.09539366400816</v>
      </c>
      <c r="C531">
        <v>477.53227225752715</v>
      </c>
      <c r="D531">
        <v>470.22540350000003</v>
      </c>
      <c r="E531">
        <v>469.71923379999998</v>
      </c>
    </row>
    <row r="532" spans="2:5" x14ac:dyDescent="0.3">
      <c r="B532">
        <v>464.3556410761085</v>
      </c>
      <c r="C532">
        <v>470.24491253814222</v>
      </c>
      <c r="D532">
        <v>470.13673039999998</v>
      </c>
      <c r="E532">
        <v>469.76144470000003</v>
      </c>
    </row>
    <row r="533" spans="2:5" x14ac:dyDescent="0.3">
      <c r="B533">
        <v>462.19876682166972</v>
      </c>
      <c r="C533">
        <v>470.26279138934188</v>
      </c>
      <c r="D533">
        <v>470.25391610000003</v>
      </c>
      <c r="E533">
        <v>469.67835109999999</v>
      </c>
    </row>
    <row r="534" spans="2:5" x14ac:dyDescent="0.3">
      <c r="B534">
        <v>468.12649697073698</v>
      </c>
      <c r="C534">
        <v>472.11823289336598</v>
      </c>
      <c r="D534">
        <v>470.11160269999999</v>
      </c>
      <c r="E534">
        <v>469.73048569999997</v>
      </c>
    </row>
    <row r="535" spans="2:5" x14ac:dyDescent="0.3">
      <c r="B535">
        <v>464.11262588992588</v>
      </c>
      <c r="C535">
        <v>468.18103672053707</v>
      </c>
      <c r="D535">
        <v>470.09946889999998</v>
      </c>
      <c r="E535">
        <v>469.77072270000002</v>
      </c>
    </row>
    <row r="536" spans="2:5" x14ac:dyDescent="0.3">
      <c r="B536">
        <v>468.35879024180417</v>
      </c>
      <c r="C536">
        <v>468.31045579316185</v>
      </c>
      <c r="D536">
        <v>470.0452631</v>
      </c>
      <c r="E536">
        <v>469.582582</v>
      </c>
    </row>
    <row r="537" spans="2:5" x14ac:dyDescent="0.3">
      <c r="B537">
        <v>449.70682935314068</v>
      </c>
      <c r="C537">
        <v>466.47810137118694</v>
      </c>
      <c r="D537">
        <v>470.07757070000002</v>
      </c>
      <c r="E537">
        <v>469.65198370000002</v>
      </c>
    </row>
    <row r="538" spans="2:5" x14ac:dyDescent="0.3">
      <c r="B538">
        <v>467.66396512800549</v>
      </c>
      <c r="C538">
        <v>468.99327570575457</v>
      </c>
      <c r="D538">
        <v>470.08883200000002</v>
      </c>
      <c r="E538">
        <v>469.64173260000001</v>
      </c>
    </row>
    <row r="539" spans="2:5" x14ac:dyDescent="0.3">
      <c r="B539">
        <v>456.12780635838044</v>
      </c>
      <c r="C539">
        <v>459.20602384466702</v>
      </c>
      <c r="D539">
        <v>470.10883799999999</v>
      </c>
      <c r="E539">
        <v>469.63670810000002</v>
      </c>
    </row>
    <row r="540" spans="2:5" x14ac:dyDescent="0.3">
      <c r="B540">
        <v>463.48362957713135</v>
      </c>
      <c r="C540">
        <v>468.14253360346538</v>
      </c>
      <c r="D540">
        <v>470.08948359999999</v>
      </c>
      <c r="E540">
        <v>469.67429709999999</v>
      </c>
    </row>
    <row r="541" spans="2:5" x14ac:dyDescent="0.3">
      <c r="B541">
        <v>455.3675204627873</v>
      </c>
      <c r="C541">
        <v>472.28482799194586</v>
      </c>
      <c r="D541">
        <v>470.14022790000001</v>
      </c>
      <c r="E541">
        <v>469.58409380000001</v>
      </c>
    </row>
    <row r="542" spans="2:5" x14ac:dyDescent="0.3">
      <c r="B542">
        <v>438.53836186502372</v>
      </c>
      <c r="C542">
        <v>467.02339466777192</v>
      </c>
      <c r="D542">
        <v>470.18806849999999</v>
      </c>
      <c r="E542">
        <v>469.58574620000002</v>
      </c>
    </row>
    <row r="543" spans="2:5" x14ac:dyDescent="0.3">
      <c r="B543">
        <v>469.78010616052774</v>
      </c>
      <c r="C543">
        <v>457.70179246569137</v>
      </c>
      <c r="D543">
        <v>469.9552205</v>
      </c>
      <c r="E543">
        <v>469.6805023</v>
      </c>
    </row>
    <row r="544" spans="2:5" x14ac:dyDescent="0.3">
      <c r="B544">
        <v>462.78210760734834</v>
      </c>
      <c r="C544">
        <v>461.96965161268713</v>
      </c>
      <c r="D544">
        <v>470.01555810000002</v>
      </c>
      <c r="E544">
        <v>469.65024640000001</v>
      </c>
    </row>
    <row r="545" spans="2:5" x14ac:dyDescent="0.3">
      <c r="B545">
        <v>476.28045251081051</v>
      </c>
      <c r="C545">
        <v>464.54275411162524</v>
      </c>
      <c r="D545">
        <v>470.06937429999999</v>
      </c>
      <c r="E545">
        <v>469.69408320000002</v>
      </c>
    </row>
    <row r="546" spans="2:5" x14ac:dyDescent="0.3">
      <c r="B546">
        <v>461.45181036870866</v>
      </c>
      <c r="C546">
        <v>466.47266434749287</v>
      </c>
      <c r="D546">
        <v>470.27512259999997</v>
      </c>
      <c r="E546">
        <v>469.69722230000002</v>
      </c>
    </row>
    <row r="547" spans="2:5" x14ac:dyDescent="0.3">
      <c r="B547">
        <v>476.19597768074783</v>
      </c>
      <c r="C547">
        <v>469.9364778307019</v>
      </c>
      <c r="D547">
        <v>470.06361379999998</v>
      </c>
      <c r="E547">
        <v>469.5487182</v>
      </c>
    </row>
    <row r="548" spans="2:5" x14ac:dyDescent="0.3">
      <c r="B548">
        <v>466.4368455583745</v>
      </c>
      <c r="C548">
        <v>467.36707764974665</v>
      </c>
      <c r="D548">
        <v>470.14763979999998</v>
      </c>
      <c r="E548">
        <v>469.64995690000001</v>
      </c>
    </row>
    <row r="549" spans="2:5" x14ac:dyDescent="0.3">
      <c r="B549">
        <v>453.01771506078927</v>
      </c>
      <c r="C549">
        <v>476.61057907632335</v>
      </c>
      <c r="D549">
        <v>470.14123810000001</v>
      </c>
      <c r="E549">
        <v>469.80595879999998</v>
      </c>
    </row>
    <row r="550" spans="2:5" x14ac:dyDescent="0.3">
      <c r="B550">
        <v>481.79495021697153</v>
      </c>
      <c r="C550">
        <v>464.8173574993811</v>
      </c>
      <c r="D550">
        <v>470.17520619999999</v>
      </c>
      <c r="E550">
        <v>469.65240749999998</v>
      </c>
    </row>
    <row r="551" spans="2:5" x14ac:dyDescent="0.3">
      <c r="B551">
        <v>462.37004493438172</v>
      </c>
      <c r="C551">
        <v>463.69727226506723</v>
      </c>
      <c r="D551">
        <v>470.30578209999999</v>
      </c>
      <c r="E551">
        <v>469.57967000000002</v>
      </c>
    </row>
    <row r="552" spans="2:5" x14ac:dyDescent="0.3">
      <c r="B552">
        <v>484.01264456922331</v>
      </c>
      <c r="C552">
        <v>472.4712235494452</v>
      </c>
      <c r="D552">
        <v>470.34568380000002</v>
      </c>
      <c r="E552">
        <v>469.59323769999997</v>
      </c>
    </row>
    <row r="553" spans="2:5" x14ac:dyDescent="0.3">
      <c r="B553">
        <v>467.70807906162179</v>
      </c>
      <c r="C553">
        <v>467.722694306932</v>
      </c>
      <c r="D553">
        <v>470.27575350000001</v>
      </c>
      <c r="E553">
        <v>469.72434249999998</v>
      </c>
    </row>
    <row r="554" spans="2:5" x14ac:dyDescent="0.3">
      <c r="B554">
        <v>460.84486156993972</v>
      </c>
      <c r="C554">
        <v>459.21370099005776</v>
      </c>
      <c r="D554">
        <v>470.09816810000001</v>
      </c>
      <c r="E554">
        <v>469.73459700000001</v>
      </c>
    </row>
    <row r="555" spans="2:5" x14ac:dyDescent="0.3">
      <c r="B555">
        <v>480.33102031301462</v>
      </c>
      <c r="C555">
        <v>462.65577319182296</v>
      </c>
      <c r="D555">
        <v>470.00224580000003</v>
      </c>
      <c r="E555">
        <v>469.62448030000002</v>
      </c>
    </row>
    <row r="556" spans="2:5" x14ac:dyDescent="0.3">
      <c r="B556">
        <v>457.98346113970752</v>
      </c>
      <c r="C556">
        <v>460.40707293680998</v>
      </c>
      <c r="D556">
        <v>470.16569629999998</v>
      </c>
      <c r="E556">
        <v>469.72443299999998</v>
      </c>
    </row>
    <row r="557" spans="2:5" x14ac:dyDescent="0.3">
      <c r="B557">
        <v>457.84967887915889</v>
      </c>
      <c r="C557">
        <v>471.88677982393006</v>
      </c>
      <c r="D557">
        <v>470.26048809999998</v>
      </c>
      <c r="E557">
        <v>469.7419506</v>
      </c>
    </row>
    <row r="558" spans="2:5" x14ac:dyDescent="0.3">
      <c r="B558">
        <v>454.92482898332099</v>
      </c>
      <c r="C558">
        <v>475.26391290558814</v>
      </c>
      <c r="D558">
        <v>470.10471799999999</v>
      </c>
      <c r="E558">
        <v>469.57937440000001</v>
      </c>
    </row>
    <row r="559" spans="2:5" x14ac:dyDescent="0.3">
      <c r="B559">
        <v>465.22473925837767</v>
      </c>
      <c r="C559">
        <v>469.39254747071163</v>
      </c>
      <c r="D559">
        <v>470.09764569999999</v>
      </c>
      <c r="E559">
        <v>469.57063049999999</v>
      </c>
    </row>
    <row r="560" spans="2:5" x14ac:dyDescent="0.3">
      <c r="B560">
        <v>465.0116046122414</v>
      </c>
      <c r="C560">
        <v>473.04811753799277</v>
      </c>
      <c r="D560">
        <v>470.26672919999999</v>
      </c>
      <c r="E560">
        <v>469.71115170000002</v>
      </c>
    </row>
    <row r="561" spans="2:5" x14ac:dyDescent="0.3">
      <c r="B561">
        <v>463.76571197293515</v>
      </c>
      <c r="C561">
        <v>472.12288642939109</v>
      </c>
      <c r="D561">
        <v>470.04996449999999</v>
      </c>
      <c r="E561">
        <v>469.63173549999999</v>
      </c>
    </row>
    <row r="562" spans="2:5" x14ac:dyDescent="0.3">
      <c r="B562">
        <v>456.59595623437434</v>
      </c>
      <c r="C562">
        <v>470.48570963540692</v>
      </c>
      <c r="D562">
        <v>470.13137699999999</v>
      </c>
      <c r="E562">
        <v>469.70510890000003</v>
      </c>
    </row>
    <row r="563" spans="2:5" x14ac:dyDescent="0.3">
      <c r="B563">
        <v>461.71107764365212</v>
      </c>
      <c r="C563">
        <v>470.53010831324195</v>
      </c>
      <c r="D563">
        <v>470.02048189999999</v>
      </c>
      <c r="E563">
        <v>469.61424</v>
      </c>
    </row>
    <row r="564" spans="2:5" x14ac:dyDescent="0.3">
      <c r="B564">
        <v>466.70484331222428</v>
      </c>
      <c r="C564">
        <v>479.4847953109994</v>
      </c>
      <c r="D564">
        <v>470.06981769999999</v>
      </c>
      <c r="E564">
        <v>469.67675910000003</v>
      </c>
    </row>
    <row r="565" spans="2:5" x14ac:dyDescent="0.3">
      <c r="B565">
        <v>453.15930885189721</v>
      </c>
      <c r="C565">
        <v>470.36311185941003</v>
      </c>
      <c r="D565">
        <v>470.06230110000001</v>
      </c>
      <c r="E565">
        <v>469.63579729999998</v>
      </c>
    </row>
    <row r="566" spans="2:5" x14ac:dyDescent="0.3">
      <c r="B566">
        <v>469.31376908591693</v>
      </c>
      <c r="C566">
        <v>464.90722034241571</v>
      </c>
      <c r="D566">
        <v>470.0808834</v>
      </c>
      <c r="E566">
        <v>469.59283040000003</v>
      </c>
    </row>
    <row r="567" spans="2:5" x14ac:dyDescent="0.3">
      <c r="B567">
        <v>467.4085348063544</v>
      </c>
      <c r="C567">
        <v>473.23583645723932</v>
      </c>
      <c r="D567">
        <v>470.06470480000002</v>
      </c>
      <c r="E567">
        <v>469.56759199999999</v>
      </c>
    </row>
    <row r="568" spans="2:5" x14ac:dyDescent="0.3">
      <c r="B568">
        <v>461.24785925125383</v>
      </c>
      <c r="C568">
        <v>459.01070513935076</v>
      </c>
      <c r="D568">
        <v>470.0415696</v>
      </c>
      <c r="E568">
        <v>469.61904190000001</v>
      </c>
    </row>
    <row r="569" spans="2:5" x14ac:dyDescent="0.3">
      <c r="B569">
        <v>453.51594626456392</v>
      </c>
      <c r="C569">
        <v>469.85645586933151</v>
      </c>
      <c r="D569">
        <v>470.05880200000001</v>
      </c>
      <c r="E569">
        <v>469.55442690000001</v>
      </c>
    </row>
    <row r="570" spans="2:5" x14ac:dyDescent="0.3">
      <c r="B570">
        <v>458.23386120300944</v>
      </c>
      <c r="C570">
        <v>467.5694098822666</v>
      </c>
      <c r="D570">
        <v>470.111625</v>
      </c>
      <c r="E570">
        <v>469.6218642</v>
      </c>
    </row>
    <row r="571" spans="2:5" x14ac:dyDescent="0.3">
      <c r="B571">
        <v>465.34649652616127</v>
      </c>
      <c r="C571">
        <v>474.68868081657263</v>
      </c>
      <c r="D571">
        <v>470.14360640000001</v>
      </c>
      <c r="E571">
        <v>469.67897729999999</v>
      </c>
    </row>
    <row r="572" spans="2:5" x14ac:dyDescent="0.3">
      <c r="B572">
        <v>456.73790693037313</v>
      </c>
      <c r="C572">
        <v>463.3087387512843</v>
      </c>
      <c r="D572">
        <v>470.10727489999999</v>
      </c>
      <c r="E572">
        <v>469.54853370000001</v>
      </c>
    </row>
    <row r="573" spans="2:5" x14ac:dyDescent="0.3">
      <c r="B573">
        <v>469.49190259123469</v>
      </c>
      <c r="C573">
        <v>475.06089384747668</v>
      </c>
      <c r="D573">
        <v>470.09511029999999</v>
      </c>
      <c r="E573">
        <v>469.68344389999999</v>
      </c>
    </row>
    <row r="574" spans="2:5" x14ac:dyDescent="0.3">
      <c r="B574">
        <v>458.1632749571483</v>
      </c>
      <c r="C574">
        <v>467.36321910215571</v>
      </c>
      <c r="D574">
        <v>470.08168840000002</v>
      </c>
      <c r="E574">
        <v>469.5151328</v>
      </c>
    </row>
    <row r="575" spans="2:5" x14ac:dyDescent="0.3">
      <c r="B575">
        <v>462.97313419180034</v>
      </c>
      <c r="C575">
        <v>465.25473482727341</v>
      </c>
      <c r="D575">
        <v>470.15048630000001</v>
      </c>
      <c r="E575">
        <v>469.57738690000002</v>
      </c>
    </row>
    <row r="576" spans="2:5" x14ac:dyDescent="0.3">
      <c r="B576">
        <v>467.33433061698082</v>
      </c>
      <c r="C576">
        <v>466.89336031855828</v>
      </c>
      <c r="D576">
        <v>470.09242360000002</v>
      </c>
      <c r="E576">
        <v>469.62897900000002</v>
      </c>
    </row>
    <row r="577" spans="2:5" x14ac:dyDescent="0.3">
      <c r="B577">
        <v>443.06439223996898</v>
      </c>
      <c r="C577">
        <v>466.18264718775248</v>
      </c>
      <c r="D577">
        <v>470.2463616</v>
      </c>
      <c r="E577">
        <v>469.59219639999998</v>
      </c>
    </row>
    <row r="578" spans="2:5" x14ac:dyDescent="0.3">
      <c r="B578">
        <v>474.24734422109697</v>
      </c>
      <c r="C578">
        <v>480.13756799830219</v>
      </c>
      <c r="D578">
        <v>470.04893120000003</v>
      </c>
      <c r="E578">
        <v>469.62797360000002</v>
      </c>
    </row>
    <row r="579" spans="2:5" x14ac:dyDescent="0.3">
      <c r="B579">
        <v>462.23316213688281</v>
      </c>
      <c r="C579">
        <v>474.59378047868245</v>
      </c>
      <c r="D579">
        <v>469.980276</v>
      </c>
      <c r="E579">
        <v>469.65883910000002</v>
      </c>
    </row>
    <row r="580" spans="2:5" x14ac:dyDescent="0.3">
      <c r="B580">
        <v>473.73748326857975</v>
      </c>
      <c r="C580">
        <v>467.12959662452948</v>
      </c>
      <c r="D580">
        <v>470.17397519999997</v>
      </c>
      <c r="E580">
        <v>469.65323219999999</v>
      </c>
    </row>
    <row r="581" spans="2:5" x14ac:dyDescent="0.3">
      <c r="B581">
        <v>473.9603349709754</v>
      </c>
      <c r="C581">
        <v>470.63608253102763</v>
      </c>
      <c r="D581">
        <v>470.18785320000001</v>
      </c>
      <c r="E581">
        <v>469.57920059999998</v>
      </c>
    </row>
    <row r="582" spans="2:5" x14ac:dyDescent="0.3">
      <c r="B582">
        <v>476.07218015057981</v>
      </c>
      <c r="C582">
        <v>465.48375108398722</v>
      </c>
      <c r="D582">
        <v>470.03851739999999</v>
      </c>
      <c r="E582">
        <v>469.72003089999998</v>
      </c>
    </row>
    <row r="583" spans="2:5" x14ac:dyDescent="0.3">
      <c r="B583">
        <v>460.79160861857548</v>
      </c>
      <c r="C583">
        <v>462.42882158818577</v>
      </c>
      <c r="D583">
        <v>470.29434070000002</v>
      </c>
      <c r="E583">
        <v>469.81872709999999</v>
      </c>
    </row>
    <row r="584" spans="2:5" x14ac:dyDescent="0.3">
      <c r="B584">
        <v>473.09757911662109</v>
      </c>
      <c r="C584">
        <v>470.99617435204982</v>
      </c>
      <c r="D584">
        <v>470.15988520000002</v>
      </c>
      <c r="E584">
        <v>469.58778769999998</v>
      </c>
    </row>
    <row r="585" spans="2:5" x14ac:dyDescent="0.3">
      <c r="B585">
        <v>469.81517313138175</v>
      </c>
      <c r="C585">
        <v>469.2829964250912</v>
      </c>
      <c r="D585">
        <v>470.17684309999999</v>
      </c>
      <c r="E585">
        <v>469.64062819999998</v>
      </c>
    </row>
    <row r="586" spans="2:5" x14ac:dyDescent="0.3">
      <c r="B586">
        <v>464.85705180550406</v>
      </c>
      <c r="C586">
        <v>464.32327762354129</v>
      </c>
      <c r="D586">
        <v>470.3095783</v>
      </c>
      <c r="E586">
        <v>469.64201009999999</v>
      </c>
    </row>
    <row r="587" spans="2:5" x14ac:dyDescent="0.3">
      <c r="B587">
        <v>474.10237423863487</v>
      </c>
      <c r="C587">
        <v>470.51715392110572</v>
      </c>
      <c r="D587">
        <v>470.18029200000001</v>
      </c>
      <c r="E587">
        <v>469.65627949999998</v>
      </c>
    </row>
    <row r="588" spans="2:5" x14ac:dyDescent="0.3">
      <c r="B588">
        <v>446.63075151284772</v>
      </c>
      <c r="C588">
        <v>483.0362264295772</v>
      </c>
      <c r="D588">
        <v>470.00556060000002</v>
      </c>
      <c r="E588">
        <v>469.67777380000001</v>
      </c>
    </row>
    <row r="589" spans="2:5" x14ac:dyDescent="0.3">
      <c r="B589">
        <v>460.72123037027262</v>
      </c>
      <c r="C589">
        <v>469.50790382167213</v>
      </c>
      <c r="D589">
        <v>469.922999</v>
      </c>
      <c r="E589">
        <v>469.60748890000002</v>
      </c>
    </row>
    <row r="590" spans="2:5" x14ac:dyDescent="0.3">
      <c r="B590">
        <v>470.89269276777458</v>
      </c>
      <c r="C590">
        <v>472.33051723219</v>
      </c>
      <c r="D590">
        <v>470.34445779999999</v>
      </c>
      <c r="E590">
        <v>469.6527054</v>
      </c>
    </row>
    <row r="591" spans="2:5" x14ac:dyDescent="0.3">
      <c r="B591">
        <v>458.31478145962865</v>
      </c>
      <c r="C591">
        <v>475.45181053273143</v>
      </c>
      <c r="D591">
        <v>470.27500209999999</v>
      </c>
      <c r="E591">
        <v>469.59461649999997</v>
      </c>
    </row>
    <row r="592" spans="2:5" x14ac:dyDescent="0.3">
      <c r="B592">
        <v>462.9717304422615</v>
      </c>
      <c r="C592">
        <v>475.07680541990584</v>
      </c>
      <c r="D592">
        <v>470.08005880000002</v>
      </c>
      <c r="E592">
        <v>469.60782870000003</v>
      </c>
    </row>
    <row r="593" spans="2:5" x14ac:dyDescent="0.3">
      <c r="B593">
        <v>462.1968021214941</v>
      </c>
      <c r="C593">
        <v>462.78347205009754</v>
      </c>
      <c r="D593">
        <v>470.11921059999997</v>
      </c>
      <c r="E593">
        <v>469.59660339999999</v>
      </c>
    </row>
    <row r="594" spans="2:5" x14ac:dyDescent="0.3">
      <c r="B594">
        <v>473.90940409538388</v>
      </c>
      <c r="C594">
        <v>466.41510612652957</v>
      </c>
      <c r="D594">
        <v>470.19890070000002</v>
      </c>
      <c r="E594">
        <v>469.57784959999998</v>
      </c>
    </row>
    <row r="595" spans="2:5" x14ac:dyDescent="0.3">
      <c r="B595">
        <v>469.80878734920316</v>
      </c>
      <c r="C595">
        <v>461.76540564775638</v>
      </c>
      <c r="D595">
        <v>470.10705680000001</v>
      </c>
      <c r="E595">
        <v>469.65591920000003</v>
      </c>
    </row>
    <row r="596" spans="2:5" x14ac:dyDescent="0.3">
      <c r="B596">
        <v>447.26937070145419</v>
      </c>
      <c r="C596">
        <v>462.21938610500411</v>
      </c>
      <c r="D596">
        <v>470.16044879999998</v>
      </c>
      <c r="E596">
        <v>469.57791109999999</v>
      </c>
    </row>
    <row r="597" spans="2:5" x14ac:dyDescent="0.3">
      <c r="B597">
        <v>458.29581030512145</v>
      </c>
      <c r="C597">
        <v>460.7509675073394</v>
      </c>
      <c r="D597">
        <v>470.11251320000002</v>
      </c>
      <c r="E597">
        <v>469.59410589999999</v>
      </c>
    </row>
    <row r="598" spans="2:5" x14ac:dyDescent="0.3">
      <c r="B598">
        <v>471.69255518705148</v>
      </c>
      <c r="C598">
        <v>465.34480693859854</v>
      </c>
      <c r="D598">
        <v>470.07639640000002</v>
      </c>
      <c r="E598">
        <v>469.64883550000002</v>
      </c>
    </row>
    <row r="599" spans="2:5" x14ac:dyDescent="0.3">
      <c r="B599">
        <v>460.57632110066157</v>
      </c>
      <c r="C599">
        <v>467.6710454490605</v>
      </c>
      <c r="D599">
        <v>470.16611239999997</v>
      </c>
      <c r="E599">
        <v>469.57709169999998</v>
      </c>
    </row>
    <row r="600" spans="2:5" x14ac:dyDescent="0.3">
      <c r="B600">
        <v>465.43870593360981</v>
      </c>
      <c r="C600">
        <v>473.46601542832985</v>
      </c>
      <c r="D600">
        <v>470.12312850000001</v>
      </c>
      <c r="E600">
        <v>469.74932200000001</v>
      </c>
    </row>
    <row r="601" spans="2:5" x14ac:dyDescent="0.3">
      <c r="B601">
        <v>467.85450935314316</v>
      </c>
      <c r="C601">
        <v>460.2346071183124</v>
      </c>
      <c r="D601">
        <v>470.12451729999998</v>
      </c>
      <c r="E601">
        <v>469.67598370000002</v>
      </c>
    </row>
    <row r="602" spans="2:5" x14ac:dyDescent="0.3">
      <c r="B602">
        <v>456.84238895536538</v>
      </c>
      <c r="C602">
        <v>468.41926767036512</v>
      </c>
      <c r="D602">
        <v>470.01409210000003</v>
      </c>
      <c r="E602">
        <v>469.6871673</v>
      </c>
    </row>
    <row r="603" spans="2:5" x14ac:dyDescent="0.3">
      <c r="B603">
        <v>477.89015986547099</v>
      </c>
      <c r="C603">
        <v>480.13285056257473</v>
      </c>
      <c r="D603">
        <v>470.24210820000002</v>
      </c>
      <c r="E603">
        <v>469.68320949999998</v>
      </c>
    </row>
    <row r="604" spans="2:5" x14ac:dyDescent="0.3">
      <c r="B604">
        <v>454.9548489864469</v>
      </c>
      <c r="C604">
        <v>468.60082289223192</v>
      </c>
      <c r="D604">
        <v>470.128962</v>
      </c>
      <c r="E604">
        <v>469.63498290000001</v>
      </c>
    </row>
    <row r="605" spans="2:5" x14ac:dyDescent="0.3">
      <c r="B605">
        <v>468.02356975392792</v>
      </c>
      <c r="C605">
        <v>470.26969376800992</v>
      </c>
      <c r="D605">
        <v>470.17774480000003</v>
      </c>
      <c r="E605">
        <v>469.6797105</v>
      </c>
    </row>
    <row r="606" spans="2:5" x14ac:dyDescent="0.3">
      <c r="B606">
        <v>462.88567123252187</v>
      </c>
      <c r="C606">
        <v>459.51212484632049</v>
      </c>
      <c r="D606">
        <v>470.20718829999998</v>
      </c>
      <c r="E606">
        <v>469.63716920000002</v>
      </c>
    </row>
    <row r="607" spans="2:5" x14ac:dyDescent="0.3">
      <c r="B607">
        <v>475.20181174861671</v>
      </c>
      <c r="C607">
        <v>463.89813013126059</v>
      </c>
      <c r="D607">
        <v>470.12950319999999</v>
      </c>
      <c r="E607">
        <v>469.5171067</v>
      </c>
    </row>
    <row r="608" spans="2:5" x14ac:dyDescent="0.3">
      <c r="B608">
        <v>457.35149804496308</v>
      </c>
      <c r="C608">
        <v>478.48852420697415</v>
      </c>
      <c r="D608">
        <v>470.10143970000001</v>
      </c>
      <c r="E608">
        <v>469.75208959999998</v>
      </c>
    </row>
    <row r="609" spans="2:5" x14ac:dyDescent="0.3">
      <c r="B609">
        <v>468.09498863374381</v>
      </c>
      <c r="C609">
        <v>466.88800781696381</v>
      </c>
      <c r="D609">
        <v>470.10315550000001</v>
      </c>
      <c r="E609">
        <v>469.5614951</v>
      </c>
    </row>
    <row r="610" spans="2:5" x14ac:dyDescent="0.3">
      <c r="B610">
        <v>469.11820376369349</v>
      </c>
      <c r="C610">
        <v>466.51141915502581</v>
      </c>
      <c r="D610">
        <v>470.06542830000001</v>
      </c>
      <c r="E610">
        <v>469.6222894</v>
      </c>
    </row>
    <row r="611" spans="2:5" x14ac:dyDescent="0.3">
      <c r="B611">
        <v>473.47410945620379</v>
      </c>
      <c r="C611">
        <v>479.41923107349993</v>
      </c>
      <c r="D611">
        <v>469.9836962</v>
      </c>
      <c r="E611">
        <v>469.62670420000001</v>
      </c>
    </row>
    <row r="612" spans="2:5" x14ac:dyDescent="0.3">
      <c r="B612">
        <v>470.76261633901737</v>
      </c>
      <c r="C612">
        <v>472.03532120574198</v>
      </c>
      <c r="D612">
        <v>470.37704609999997</v>
      </c>
      <c r="E612">
        <v>469.66992260000001</v>
      </c>
    </row>
    <row r="613" spans="2:5" x14ac:dyDescent="0.3">
      <c r="B613">
        <v>474.84234145514483</v>
      </c>
      <c r="C613">
        <v>466.19444138491781</v>
      </c>
      <c r="D613">
        <v>470.28360220000002</v>
      </c>
      <c r="E613">
        <v>469.64417179999998</v>
      </c>
    </row>
    <row r="614" spans="2:5" x14ac:dyDescent="0.3">
      <c r="B614">
        <v>459.17302133980002</v>
      </c>
      <c r="C614">
        <v>461.77434501485061</v>
      </c>
      <c r="D614">
        <v>470.18002639999997</v>
      </c>
      <c r="E614">
        <v>469.60489050000001</v>
      </c>
    </row>
    <row r="615" spans="2:5" x14ac:dyDescent="0.3">
      <c r="B615">
        <v>472.98074897664787</v>
      </c>
      <c r="C615">
        <v>470.89825798962289</v>
      </c>
      <c r="D615">
        <v>470.16778770000002</v>
      </c>
      <c r="E615">
        <v>469.69954300000001</v>
      </c>
    </row>
    <row r="616" spans="2:5" x14ac:dyDescent="0.3">
      <c r="B616">
        <v>451.42064585837966</v>
      </c>
      <c r="C616">
        <v>463.8664248080816</v>
      </c>
      <c r="D616">
        <v>470.02884030000001</v>
      </c>
      <c r="E616">
        <v>469.58066439999999</v>
      </c>
    </row>
    <row r="617" spans="2:5" x14ac:dyDescent="0.3">
      <c r="B617">
        <v>452.6013206973887</v>
      </c>
      <c r="C617">
        <v>462.86015501031329</v>
      </c>
      <c r="D617">
        <v>470.28219000000001</v>
      </c>
      <c r="E617">
        <v>469.59178930000002</v>
      </c>
    </row>
    <row r="618" spans="2:5" x14ac:dyDescent="0.3">
      <c r="B618">
        <v>464.68987504570271</v>
      </c>
      <c r="C618">
        <v>463.29262661079804</v>
      </c>
      <c r="D618">
        <v>470.2717533</v>
      </c>
      <c r="E618">
        <v>469.78455989999998</v>
      </c>
    </row>
    <row r="619" spans="2:5" x14ac:dyDescent="0.3">
      <c r="B619">
        <v>460.39649295549202</v>
      </c>
      <c r="C619">
        <v>471.24562786189125</v>
      </c>
      <c r="D619">
        <v>470.07233889999998</v>
      </c>
      <c r="E619">
        <v>469.6167476</v>
      </c>
    </row>
    <row r="620" spans="2:5" x14ac:dyDescent="0.3">
      <c r="B620">
        <v>463.67262760985636</v>
      </c>
      <c r="C620">
        <v>470.64156665205883</v>
      </c>
      <c r="D620">
        <v>470.1062182</v>
      </c>
      <c r="E620">
        <v>469.60938440000001</v>
      </c>
    </row>
    <row r="621" spans="2:5" x14ac:dyDescent="0.3">
      <c r="B621">
        <v>472.43732436297535</v>
      </c>
      <c r="C621">
        <v>469.89105679682905</v>
      </c>
      <c r="D621">
        <v>470.17838790000002</v>
      </c>
      <c r="E621">
        <v>469.64423140000002</v>
      </c>
    </row>
    <row r="622" spans="2:5" x14ac:dyDescent="0.3">
      <c r="B622">
        <v>468.5405610033211</v>
      </c>
      <c r="C622">
        <v>470.08070806790664</v>
      </c>
      <c r="D622">
        <v>470.16222670000002</v>
      </c>
      <c r="E622">
        <v>469.56838099999999</v>
      </c>
    </row>
    <row r="623" spans="2:5" x14ac:dyDescent="0.3">
      <c r="B623">
        <v>465.51121455366109</v>
      </c>
      <c r="C623">
        <v>464.36165034171864</v>
      </c>
      <c r="D623">
        <v>470.21321039999998</v>
      </c>
      <c r="E623">
        <v>469.52096990000001</v>
      </c>
    </row>
    <row r="624" spans="2:5" x14ac:dyDescent="0.3">
      <c r="B624">
        <v>481.17937067386106</v>
      </c>
      <c r="C624">
        <v>471.08477460041905</v>
      </c>
      <c r="D624">
        <v>470.28285579999999</v>
      </c>
      <c r="E624">
        <v>469.69782229999998</v>
      </c>
    </row>
    <row r="625" spans="2:5" x14ac:dyDescent="0.3">
      <c r="B625">
        <v>465.79579394980743</v>
      </c>
      <c r="C625">
        <v>464.98512937214309</v>
      </c>
      <c r="D625">
        <v>470.11845460000001</v>
      </c>
      <c r="E625">
        <v>469.59879940000002</v>
      </c>
    </row>
    <row r="626" spans="2:5" x14ac:dyDescent="0.3">
      <c r="B626">
        <v>472.43363112974481</v>
      </c>
      <c r="C626">
        <v>468.65252749163659</v>
      </c>
      <c r="D626">
        <v>470.19457240000003</v>
      </c>
      <c r="E626">
        <v>469.6405183</v>
      </c>
    </row>
    <row r="627" spans="2:5" x14ac:dyDescent="0.3">
      <c r="B627">
        <v>458.25656828402026</v>
      </c>
      <c r="C627">
        <v>465.21580624862617</v>
      </c>
      <c r="D627">
        <v>470.05668129999998</v>
      </c>
      <c r="E627">
        <v>469.53686979999998</v>
      </c>
    </row>
    <row r="628" spans="2:5" x14ac:dyDescent="0.3">
      <c r="B628">
        <v>480.27085424457306</v>
      </c>
      <c r="C628">
        <v>465.53169694624683</v>
      </c>
      <c r="D628">
        <v>470.08593180000003</v>
      </c>
      <c r="E628">
        <v>469.63779160000001</v>
      </c>
    </row>
    <row r="629" spans="2:5" x14ac:dyDescent="0.3">
      <c r="B629">
        <v>459.47041691949568</v>
      </c>
      <c r="C629">
        <v>467.19873746041856</v>
      </c>
      <c r="D629">
        <v>470.13637879999999</v>
      </c>
      <c r="E629">
        <v>469.66398559999999</v>
      </c>
    </row>
    <row r="630" spans="2:5" x14ac:dyDescent="0.3">
      <c r="B630">
        <v>464.12728007279867</v>
      </c>
      <c r="C630">
        <v>469.61306351020852</v>
      </c>
      <c r="D630">
        <v>470.1699074</v>
      </c>
      <c r="E630">
        <v>469.62962729999998</v>
      </c>
    </row>
    <row r="631" spans="2:5" x14ac:dyDescent="0.3">
      <c r="B631">
        <v>461.15278351976633</v>
      </c>
      <c r="C631">
        <v>463.8588334316637</v>
      </c>
      <c r="D631">
        <v>470.01394829999998</v>
      </c>
      <c r="E631">
        <v>469.5917121</v>
      </c>
    </row>
    <row r="632" spans="2:5" x14ac:dyDescent="0.3">
      <c r="B632">
        <v>457.57141527171143</v>
      </c>
      <c r="C632">
        <v>464.92182628256916</v>
      </c>
      <c r="D632">
        <v>470.11324500000001</v>
      </c>
      <c r="E632">
        <v>469.7082365</v>
      </c>
    </row>
    <row r="633" spans="2:5" x14ac:dyDescent="0.3">
      <c r="B633">
        <v>454.45186396587047</v>
      </c>
      <c r="C633">
        <v>468.25421242746512</v>
      </c>
      <c r="D633">
        <v>470.11151599999999</v>
      </c>
      <c r="E633">
        <v>469.63312100000002</v>
      </c>
    </row>
    <row r="634" spans="2:5" x14ac:dyDescent="0.3">
      <c r="B634">
        <v>474.29685040652589</v>
      </c>
      <c r="C634">
        <v>471.36599816495749</v>
      </c>
      <c r="D634">
        <v>470.13553150000001</v>
      </c>
      <c r="E634">
        <v>469.52445540000002</v>
      </c>
    </row>
    <row r="635" spans="2:5" x14ac:dyDescent="0.3">
      <c r="B635">
        <v>459.36176772154784</v>
      </c>
      <c r="C635">
        <v>465.35644680337202</v>
      </c>
      <c r="D635">
        <v>470.148008</v>
      </c>
      <c r="E635">
        <v>469.59824409999999</v>
      </c>
    </row>
    <row r="636" spans="2:5" x14ac:dyDescent="0.3">
      <c r="B636">
        <v>459.54804582197943</v>
      </c>
      <c r="C636">
        <v>463.22181066511541</v>
      </c>
      <c r="D636">
        <v>470.12652379999997</v>
      </c>
      <c r="E636">
        <v>469.66165699999999</v>
      </c>
    </row>
    <row r="637" spans="2:5" x14ac:dyDescent="0.3">
      <c r="B637">
        <v>458.43486781600745</v>
      </c>
      <c r="C637">
        <v>464.68747017542574</v>
      </c>
      <c r="D637">
        <v>470.2040786</v>
      </c>
      <c r="E637">
        <v>469.64687359999999</v>
      </c>
    </row>
    <row r="638" spans="2:5" x14ac:dyDescent="0.3">
      <c r="B638">
        <v>472.70426239020736</v>
      </c>
      <c r="C638">
        <v>474.30275665221717</v>
      </c>
      <c r="D638">
        <v>470.01665300000002</v>
      </c>
      <c r="E638">
        <v>469.69750049999999</v>
      </c>
    </row>
    <row r="639" spans="2:5" x14ac:dyDescent="0.3">
      <c r="B639">
        <v>457.18018268913477</v>
      </c>
      <c r="C639">
        <v>466.74474953665396</v>
      </c>
      <c r="D639">
        <v>470.06681070000002</v>
      </c>
      <c r="E639">
        <v>469.56636889999999</v>
      </c>
    </row>
    <row r="640" spans="2:5" x14ac:dyDescent="0.3">
      <c r="B640">
        <v>460.8148853113218</v>
      </c>
      <c r="C640">
        <v>470.04463250863711</v>
      </c>
      <c r="D640">
        <v>470.10061009999998</v>
      </c>
      <c r="E640">
        <v>469.68048859999999</v>
      </c>
    </row>
    <row r="641" spans="2:5" x14ac:dyDescent="0.3">
      <c r="B641">
        <v>463.38004635109581</v>
      </c>
      <c r="C641">
        <v>463.12297823347888</v>
      </c>
      <c r="D641">
        <v>470.1543451</v>
      </c>
      <c r="E641">
        <v>469.6359033</v>
      </c>
    </row>
    <row r="642" spans="2:5" x14ac:dyDescent="0.3">
      <c r="B642">
        <v>456.67063431191315</v>
      </c>
      <c r="C642">
        <v>458.55977753149244</v>
      </c>
      <c r="D642">
        <v>470.08085949999997</v>
      </c>
      <c r="E642">
        <v>469.62115990000001</v>
      </c>
    </row>
    <row r="643" spans="2:5" x14ac:dyDescent="0.3">
      <c r="B643">
        <v>467.49350487941649</v>
      </c>
      <c r="C643">
        <v>467.9026864574713</v>
      </c>
      <c r="D643">
        <v>470.20838880000002</v>
      </c>
      <c r="E643">
        <v>469.77122930000002</v>
      </c>
    </row>
    <row r="644" spans="2:5" x14ac:dyDescent="0.3">
      <c r="B644">
        <v>471.47024691548012</v>
      </c>
      <c r="C644">
        <v>480.11490751205889</v>
      </c>
      <c r="D644">
        <v>470.0912975</v>
      </c>
      <c r="E644">
        <v>469.59740060000001</v>
      </c>
    </row>
    <row r="645" spans="2:5" x14ac:dyDescent="0.3">
      <c r="B645">
        <v>470.46757744157946</v>
      </c>
      <c r="C645">
        <v>474.22532636594644</v>
      </c>
      <c r="D645">
        <v>470.245926</v>
      </c>
      <c r="E645">
        <v>469.63651069999997</v>
      </c>
    </row>
    <row r="646" spans="2:5" x14ac:dyDescent="0.3">
      <c r="B646">
        <v>458.84185185901214</v>
      </c>
      <c r="C646">
        <v>456.81577189960205</v>
      </c>
      <c r="D646">
        <v>470.01499189999998</v>
      </c>
      <c r="E646">
        <v>469.60413770000002</v>
      </c>
    </row>
    <row r="647" spans="2:5" x14ac:dyDescent="0.3">
      <c r="B647">
        <v>473.91457919241151</v>
      </c>
      <c r="C647">
        <v>461.14536690584731</v>
      </c>
      <c r="D647">
        <v>470.30897679999998</v>
      </c>
      <c r="E647">
        <v>469.65850499999999</v>
      </c>
    </row>
    <row r="648" spans="2:5" x14ac:dyDescent="0.3">
      <c r="B648">
        <v>454.07746981335367</v>
      </c>
      <c r="C648">
        <v>456.1863569893622</v>
      </c>
      <c r="D648">
        <v>470.27720420000003</v>
      </c>
      <c r="E648">
        <v>469.52175920000002</v>
      </c>
    </row>
    <row r="649" spans="2:5" x14ac:dyDescent="0.3">
      <c r="B649">
        <v>470.9203627987082</v>
      </c>
      <c r="C649">
        <v>462.15347204842413</v>
      </c>
      <c r="D649">
        <v>470.01558240000003</v>
      </c>
      <c r="E649">
        <v>469.6209083</v>
      </c>
    </row>
    <row r="650" spans="2:5" x14ac:dyDescent="0.3">
      <c r="B650">
        <v>456.48661614717969</v>
      </c>
      <c r="C650">
        <v>454.47172483152696</v>
      </c>
      <c r="D650">
        <v>470.26499690000003</v>
      </c>
      <c r="E650">
        <v>469.5725387</v>
      </c>
    </row>
    <row r="651" spans="2:5" x14ac:dyDescent="0.3">
      <c r="B651">
        <v>466.01850131908247</v>
      </c>
      <c r="C651">
        <v>479.41323940546147</v>
      </c>
      <c r="D651">
        <v>470.15347680000002</v>
      </c>
      <c r="E651">
        <v>469.60359499999998</v>
      </c>
    </row>
    <row r="652" spans="2:5" x14ac:dyDescent="0.3">
      <c r="B652">
        <v>456.21973202078613</v>
      </c>
      <c r="C652">
        <v>473.29093083341616</v>
      </c>
      <c r="D652">
        <v>470.18977519999999</v>
      </c>
      <c r="E652">
        <v>469.66167710000002</v>
      </c>
    </row>
    <row r="653" spans="2:5" x14ac:dyDescent="0.3">
      <c r="B653">
        <v>468.39842162591151</v>
      </c>
      <c r="C653">
        <v>473.56692082279977</v>
      </c>
      <c r="D653">
        <v>470.04286619999999</v>
      </c>
      <c r="E653">
        <v>469.61168939999999</v>
      </c>
    </row>
    <row r="654" spans="2:5" x14ac:dyDescent="0.3">
      <c r="B654">
        <v>467.88527818826742</v>
      </c>
      <c r="C654">
        <v>464.53591029953526</v>
      </c>
      <c r="D654">
        <v>470.0812234</v>
      </c>
      <c r="E654">
        <v>469.72585190000001</v>
      </c>
    </row>
    <row r="655" spans="2:5" x14ac:dyDescent="0.3">
      <c r="B655">
        <v>456.17892471022242</v>
      </c>
      <c r="C655">
        <v>468.98961704817606</v>
      </c>
      <c r="D655">
        <v>470.12686869999999</v>
      </c>
      <c r="E655">
        <v>469.6505588</v>
      </c>
    </row>
    <row r="656" spans="2:5" x14ac:dyDescent="0.3">
      <c r="B656">
        <v>474.0066695588738</v>
      </c>
      <c r="C656">
        <v>476.67236646489158</v>
      </c>
      <c r="D656">
        <v>470.16155950000001</v>
      </c>
      <c r="E656">
        <v>469.53435999999999</v>
      </c>
    </row>
    <row r="657" spans="2:5" x14ac:dyDescent="0.3">
      <c r="B657">
        <v>462.31791563261237</v>
      </c>
      <c r="C657">
        <v>466.83518341873616</v>
      </c>
      <c r="D657">
        <v>470.32271759999998</v>
      </c>
      <c r="E657">
        <v>469.65186679999999</v>
      </c>
    </row>
    <row r="658" spans="2:5" x14ac:dyDescent="0.3">
      <c r="B658">
        <v>475.32674458252899</v>
      </c>
      <c r="C658">
        <v>479.78457195294573</v>
      </c>
      <c r="D658">
        <v>470.01189840000001</v>
      </c>
      <c r="E658">
        <v>469.62478620000002</v>
      </c>
    </row>
    <row r="659" spans="2:5" x14ac:dyDescent="0.3">
      <c r="B659">
        <v>463.85756178471354</v>
      </c>
      <c r="C659">
        <v>468.51101790347832</v>
      </c>
      <c r="D659">
        <v>470.2595369</v>
      </c>
      <c r="E659">
        <v>469.51985630000001</v>
      </c>
    </row>
    <row r="660" spans="2:5" x14ac:dyDescent="0.3">
      <c r="B660">
        <v>471.97476286599181</v>
      </c>
      <c r="C660">
        <v>469.69405343392441</v>
      </c>
      <c r="D660">
        <v>470.14879880000001</v>
      </c>
      <c r="E660">
        <v>469.58050600000001</v>
      </c>
    </row>
    <row r="661" spans="2:5" x14ac:dyDescent="0.3">
      <c r="B661">
        <v>470.19235093798011</v>
      </c>
      <c r="C661">
        <v>473.34333330263388</v>
      </c>
      <c r="D661">
        <v>470.21856789999998</v>
      </c>
      <c r="E661">
        <v>469.54179870000002</v>
      </c>
    </row>
    <row r="662" spans="2:5" x14ac:dyDescent="0.3">
      <c r="B662">
        <v>469.55398461341838</v>
      </c>
      <c r="C662">
        <v>472.88123947372156</v>
      </c>
      <c r="D662">
        <v>470.22849500000001</v>
      </c>
      <c r="E662">
        <v>469.66689630000002</v>
      </c>
    </row>
    <row r="663" spans="2:5" x14ac:dyDescent="0.3">
      <c r="B663">
        <v>483.4713351690973</v>
      </c>
      <c r="C663">
        <v>460.42096990413995</v>
      </c>
      <c r="D663">
        <v>470.11000059999998</v>
      </c>
      <c r="E663">
        <v>469.70338079999999</v>
      </c>
    </row>
    <row r="664" spans="2:5" x14ac:dyDescent="0.3">
      <c r="B664">
        <v>472.69356541090423</v>
      </c>
      <c r="C664">
        <v>474.56356093672372</v>
      </c>
      <c r="D664">
        <v>470.16663410000001</v>
      </c>
      <c r="E664">
        <v>469.61120310000001</v>
      </c>
    </row>
    <row r="665" spans="2:5" x14ac:dyDescent="0.3">
      <c r="B665">
        <v>482.1942801364533</v>
      </c>
      <c r="C665">
        <v>471.34917886908488</v>
      </c>
      <c r="D665">
        <v>470.19379720000001</v>
      </c>
      <c r="E665">
        <v>469.57125100000002</v>
      </c>
    </row>
    <row r="666" spans="2:5" x14ac:dyDescent="0.3">
      <c r="B666">
        <v>478.79962699434071</v>
      </c>
      <c r="C666">
        <v>466.71294888310894</v>
      </c>
      <c r="D666">
        <v>469.94917029999999</v>
      </c>
      <c r="E666">
        <v>469.54911520000002</v>
      </c>
    </row>
    <row r="667" spans="2:5" x14ac:dyDescent="0.3">
      <c r="B667">
        <v>466.2213500382789</v>
      </c>
      <c r="C667">
        <v>473.7336713511217</v>
      </c>
      <c r="D667">
        <v>470.19971959999998</v>
      </c>
      <c r="E667">
        <v>469.75420489999999</v>
      </c>
    </row>
    <row r="668" spans="2:5" x14ac:dyDescent="0.3">
      <c r="B668">
        <v>471.10768640725962</v>
      </c>
      <c r="C668">
        <v>469.02656112493025</v>
      </c>
      <c r="D668">
        <v>470.10340239999999</v>
      </c>
      <c r="E668">
        <v>469.6148614</v>
      </c>
    </row>
    <row r="669" spans="2:5" x14ac:dyDescent="0.3">
      <c r="B669">
        <v>462.25525480152845</v>
      </c>
      <c r="C669">
        <v>472.21919651727251</v>
      </c>
      <c r="D669">
        <v>470.17743280000002</v>
      </c>
      <c r="E669">
        <v>469.58573560000002</v>
      </c>
    </row>
    <row r="670" spans="2:5" x14ac:dyDescent="0.3">
      <c r="B670">
        <v>466.78125919336821</v>
      </c>
      <c r="C670">
        <v>476.11104198197762</v>
      </c>
      <c r="D670">
        <v>470.18884070000001</v>
      </c>
      <c r="E670">
        <v>469.65525650000001</v>
      </c>
    </row>
    <row r="671" spans="2:5" x14ac:dyDescent="0.3">
      <c r="B671">
        <v>464.15253395756747</v>
      </c>
      <c r="C671">
        <v>460.94926186813694</v>
      </c>
      <c r="D671">
        <v>470.11556719999999</v>
      </c>
      <c r="E671">
        <v>469.68274530000002</v>
      </c>
    </row>
    <row r="672" spans="2:5" x14ac:dyDescent="0.3">
      <c r="B672">
        <v>463.95122180720057</v>
      </c>
      <c r="C672">
        <v>470.11527981141279</v>
      </c>
      <c r="D672">
        <v>470.26848910000001</v>
      </c>
      <c r="E672">
        <v>469.53168269999998</v>
      </c>
    </row>
    <row r="673" spans="2:5" x14ac:dyDescent="0.3">
      <c r="B673">
        <v>483.57313302252294</v>
      </c>
      <c r="C673">
        <v>471.85852195675977</v>
      </c>
      <c r="D673">
        <v>470.18024960000002</v>
      </c>
      <c r="E673">
        <v>469.70593289999999</v>
      </c>
    </row>
    <row r="674" spans="2:5" x14ac:dyDescent="0.3">
      <c r="B674">
        <v>445.87453938315628</v>
      </c>
      <c r="C674">
        <v>473.07769111433203</v>
      </c>
      <c r="D674">
        <v>470.0064696</v>
      </c>
      <c r="E674">
        <v>469.52345819999999</v>
      </c>
    </row>
    <row r="675" spans="2:5" x14ac:dyDescent="0.3">
      <c r="B675">
        <v>468.42871941541358</v>
      </c>
      <c r="C675">
        <v>469.28414439758774</v>
      </c>
      <c r="D675">
        <v>470.27012480000002</v>
      </c>
      <c r="E675">
        <v>469.66020120000002</v>
      </c>
    </row>
    <row r="676" spans="2:5" x14ac:dyDescent="0.3">
      <c r="B676">
        <v>479.90560053112517</v>
      </c>
      <c r="C676">
        <v>459.27333550375755</v>
      </c>
      <c r="D676">
        <v>470.18497230000003</v>
      </c>
      <c r="E676">
        <v>469.72057410000002</v>
      </c>
    </row>
    <row r="677" spans="2:5" x14ac:dyDescent="0.3">
      <c r="B677">
        <v>477.99653265434603</v>
      </c>
      <c r="C677">
        <v>471.57409006097157</v>
      </c>
      <c r="D677">
        <v>470.22170749999998</v>
      </c>
      <c r="E677">
        <v>469.6192173</v>
      </c>
    </row>
    <row r="678" spans="2:5" x14ac:dyDescent="0.3">
      <c r="B678">
        <v>467.68176065418271</v>
      </c>
      <c r="C678">
        <v>479.30620244510897</v>
      </c>
      <c r="D678">
        <v>470.09684970000001</v>
      </c>
      <c r="E678">
        <v>469.64493959999999</v>
      </c>
    </row>
    <row r="679" spans="2:5" x14ac:dyDescent="0.3">
      <c r="B679">
        <v>476.62745409870149</v>
      </c>
      <c r="C679">
        <v>468.87062072164213</v>
      </c>
      <c r="D679">
        <v>470.11122990000001</v>
      </c>
      <c r="E679">
        <v>469.58970649999998</v>
      </c>
    </row>
    <row r="680" spans="2:5" x14ac:dyDescent="0.3">
      <c r="B680">
        <v>478.23887771985994</v>
      </c>
      <c r="C680">
        <v>468.72935534395265</v>
      </c>
      <c r="D680">
        <v>470.15147050000002</v>
      </c>
      <c r="E680">
        <v>469.57282140000001</v>
      </c>
    </row>
    <row r="681" spans="2:5" x14ac:dyDescent="0.3">
      <c r="B681">
        <v>451.65850657571247</v>
      </c>
      <c r="C681">
        <v>464.97100128827668</v>
      </c>
      <c r="D681">
        <v>470.21537430000001</v>
      </c>
      <c r="E681">
        <v>469.52623260000001</v>
      </c>
    </row>
    <row r="682" spans="2:5" x14ac:dyDescent="0.3">
      <c r="B682">
        <v>468.92485593932872</v>
      </c>
      <c r="C682">
        <v>465.31466544107178</v>
      </c>
      <c r="D682">
        <v>470.01440730000002</v>
      </c>
      <c r="E682">
        <v>469.64033710000001</v>
      </c>
    </row>
    <row r="683" spans="2:5" x14ac:dyDescent="0.3">
      <c r="B683">
        <v>452.71395692857408</v>
      </c>
      <c r="C683">
        <v>474.35064520131692</v>
      </c>
      <c r="D683">
        <v>470.24245739999998</v>
      </c>
      <c r="E683">
        <v>469.67235249999999</v>
      </c>
    </row>
    <row r="684" spans="2:5" x14ac:dyDescent="0.3">
      <c r="B684">
        <v>464.14895091594724</v>
      </c>
      <c r="C684">
        <v>470.94098063077263</v>
      </c>
      <c r="D684">
        <v>470.19427780000001</v>
      </c>
      <c r="E684">
        <v>469.59886449999999</v>
      </c>
    </row>
    <row r="685" spans="2:5" x14ac:dyDescent="0.3">
      <c r="B685">
        <v>472.18282272023788</v>
      </c>
      <c r="C685">
        <v>474.3042506960179</v>
      </c>
      <c r="D685">
        <v>470.25106</v>
      </c>
      <c r="E685">
        <v>469.66498890000003</v>
      </c>
    </row>
    <row r="686" spans="2:5" x14ac:dyDescent="0.3">
      <c r="B686">
        <v>468.43399551044354</v>
      </c>
      <c r="C686">
        <v>466.58684383682436</v>
      </c>
      <c r="D686">
        <v>470.08330590000003</v>
      </c>
      <c r="E686">
        <v>469.65430759999998</v>
      </c>
    </row>
    <row r="687" spans="2:5" x14ac:dyDescent="0.3">
      <c r="B687">
        <v>472.13180216893994</v>
      </c>
      <c r="C687">
        <v>462.79908111663082</v>
      </c>
      <c r="D687">
        <v>469.98564490000001</v>
      </c>
      <c r="E687">
        <v>469.69506230000002</v>
      </c>
    </row>
    <row r="688" spans="2:5" x14ac:dyDescent="0.3">
      <c r="B688">
        <v>471.28832687986505</v>
      </c>
      <c r="C688">
        <v>465.914960636844</v>
      </c>
      <c r="D688">
        <v>470.25887369999998</v>
      </c>
      <c r="E688">
        <v>469.64259299999998</v>
      </c>
    </row>
    <row r="689" spans="2:5" x14ac:dyDescent="0.3">
      <c r="B689">
        <v>459.10277089219403</v>
      </c>
      <c r="C689">
        <v>471.2346607658489</v>
      </c>
      <c r="D689">
        <v>470.0891527</v>
      </c>
      <c r="E689">
        <v>469.76429050000002</v>
      </c>
    </row>
    <row r="690" spans="2:5" x14ac:dyDescent="0.3">
      <c r="B690">
        <v>452.85886829883412</v>
      </c>
      <c r="C690">
        <v>466.01180089996711</v>
      </c>
      <c r="D690">
        <v>470.2345919</v>
      </c>
      <c r="E690">
        <v>469.60236939999999</v>
      </c>
    </row>
    <row r="691" spans="2:5" x14ac:dyDescent="0.3">
      <c r="B691">
        <v>459.20881015249199</v>
      </c>
      <c r="C691">
        <v>462.81820331947131</v>
      </c>
      <c r="D691">
        <v>470.25327019999997</v>
      </c>
      <c r="E691">
        <v>469.63668189999999</v>
      </c>
    </row>
    <row r="692" spans="2:5" x14ac:dyDescent="0.3">
      <c r="B692">
        <v>474.88909132366268</v>
      </c>
      <c r="C692">
        <v>461.17453483129719</v>
      </c>
      <c r="D692">
        <v>470.07368220000001</v>
      </c>
      <c r="E692">
        <v>469.58128679999999</v>
      </c>
    </row>
    <row r="693" spans="2:5" x14ac:dyDescent="0.3">
      <c r="B693">
        <v>470.05983194691089</v>
      </c>
      <c r="C693">
        <v>475.52908252620603</v>
      </c>
      <c r="D693">
        <v>470.19339789999998</v>
      </c>
      <c r="E693">
        <v>469.68234460000002</v>
      </c>
    </row>
    <row r="694" spans="2:5" x14ac:dyDescent="0.3">
      <c r="B694">
        <v>471.14463653276658</v>
      </c>
      <c r="C694">
        <v>480.48830013470115</v>
      </c>
      <c r="D694">
        <v>470.02832749999999</v>
      </c>
      <c r="E694">
        <v>469.56063080000001</v>
      </c>
    </row>
    <row r="695" spans="2:5" x14ac:dyDescent="0.3">
      <c r="B695">
        <v>469.51375757229158</v>
      </c>
      <c r="C695">
        <v>460.20923797351929</v>
      </c>
      <c r="D695">
        <v>470.2029478</v>
      </c>
      <c r="E695">
        <v>469.66292349999998</v>
      </c>
    </row>
    <row r="696" spans="2:5" x14ac:dyDescent="0.3">
      <c r="B696">
        <v>450.76245927750557</v>
      </c>
      <c r="C696">
        <v>469.7566247358339</v>
      </c>
      <c r="D696">
        <v>470.16527439999999</v>
      </c>
      <c r="E696">
        <v>469.5719952</v>
      </c>
    </row>
    <row r="697" spans="2:5" x14ac:dyDescent="0.3">
      <c r="B697">
        <v>474.91186935682333</v>
      </c>
      <c r="C697">
        <v>466.13591508477947</v>
      </c>
      <c r="D697">
        <v>470.13063629999999</v>
      </c>
      <c r="E697">
        <v>469.77395300000001</v>
      </c>
    </row>
    <row r="698" spans="2:5" x14ac:dyDescent="0.3">
      <c r="B698">
        <v>469.15629336834689</v>
      </c>
      <c r="C698">
        <v>470.61189254534185</v>
      </c>
      <c r="D698">
        <v>470.2482981</v>
      </c>
      <c r="E698">
        <v>469.49182739999998</v>
      </c>
    </row>
    <row r="699" spans="2:5" x14ac:dyDescent="0.3">
      <c r="B699">
        <v>470.35465253081526</v>
      </c>
      <c r="C699">
        <v>465.86025550578722</v>
      </c>
      <c r="D699">
        <v>470.17805909999998</v>
      </c>
      <c r="E699">
        <v>469.63228980000002</v>
      </c>
    </row>
    <row r="700" spans="2:5" x14ac:dyDescent="0.3">
      <c r="B700">
        <v>469.00004286781893</v>
      </c>
      <c r="C700">
        <v>464.77804677793529</v>
      </c>
      <c r="D700">
        <v>470.04216020000001</v>
      </c>
      <c r="E700">
        <v>469.75210070000003</v>
      </c>
    </row>
    <row r="701" spans="2:5" x14ac:dyDescent="0.3">
      <c r="B701">
        <v>464.95555699805976</v>
      </c>
      <c r="C701">
        <v>467.78056921602848</v>
      </c>
      <c r="D701">
        <v>470.0717027</v>
      </c>
      <c r="E701">
        <v>469.64804279999998</v>
      </c>
    </row>
    <row r="702" spans="2:5" x14ac:dyDescent="0.3">
      <c r="B702">
        <v>477.70365304909279</v>
      </c>
      <c r="C702">
        <v>473.37478907369092</v>
      </c>
      <c r="D702">
        <v>470.07833629999999</v>
      </c>
      <c r="E702">
        <v>469.69245660000001</v>
      </c>
    </row>
    <row r="703" spans="2:5" x14ac:dyDescent="0.3">
      <c r="B703">
        <v>467.68389359327318</v>
      </c>
      <c r="C703">
        <v>461.60757994555001</v>
      </c>
      <c r="D703">
        <v>470.2186049</v>
      </c>
      <c r="E703">
        <v>469.62302460000001</v>
      </c>
    </row>
    <row r="704" spans="2:5" x14ac:dyDescent="0.3">
      <c r="B704">
        <v>460.66410967596283</v>
      </c>
      <c r="C704">
        <v>469.22634953001818</v>
      </c>
      <c r="D704">
        <v>470.18533489999999</v>
      </c>
      <c r="E704">
        <v>469.63101519999998</v>
      </c>
    </row>
    <row r="705" spans="2:5" x14ac:dyDescent="0.3">
      <c r="B705">
        <v>467.43885401590416</v>
      </c>
      <c r="C705">
        <v>461.22052142783764</v>
      </c>
      <c r="D705">
        <v>470.0863008</v>
      </c>
      <c r="E705">
        <v>469.57079729999998</v>
      </c>
    </row>
    <row r="706" spans="2:5" x14ac:dyDescent="0.3">
      <c r="B706">
        <v>464.87283275320488</v>
      </c>
      <c r="C706">
        <v>479.01107211379025</v>
      </c>
      <c r="D706">
        <v>469.97961650000002</v>
      </c>
      <c r="E706">
        <v>469.58692289999999</v>
      </c>
    </row>
    <row r="707" spans="2:5" x14ac:dyDescent="0.3">
      <c r="B707">
        <v>465.67265111956141</v>
      </c>
      <c r="C707">
        <v>465.07770736816872</v>
      </c>
      <c r="D707">
        <v>470.19443439999998</v>
      </c>
      <c r="E707">
        <v>469.6038494</v>
      </c>
    </row>
    <row r="708" spans="2:5" x14ac:dyDescent="0.3">
      <c r="B708">
        <v>474.75223032334372</v>
      </c>
      <c r="C708">
        <v>472.83889507353422</v>
      </c>
      <c r="D708">
        <v>470.23728469999998</v>
      </c>
      <c r="E708">
        <v>469.63560810000001</v>
      </c>
    </row>
    <row r="709" spans="2:5" x14ac:dyDescent="0.3">
      <c r="B709">
        <v>474.51168529894005</v>
      </c>
      <c r="C709">
        <v>456.30934866077087</v>
      </c>
      <c r="D709">
        <v>470.03982930000001</v>
      </c>
      <c r="E709">
        <v>469.58788320000002</v>
      </c>
    </row>
    <row r="710" spans="2:5" x14ac:dyDescent="0.3">
      <c r="B710">
        <v>459.20796256838452</v>
      </c>
      <c r="C710">
        <v>465.59565118097385</v>
      </c>
      <c r="D710">
        <v>470.22031829999997</v>
      </c>
      <c r="E710">
        <v>469.6534077</v>
      </c>
    </row>
    <row r="711" spans="2:5" x14ac:dyDescent="0.3">
      <c r="B711">
        <v>458.68752341969991</v>
      </c>
      <c r="C711">
        <v>472.43402641145946</v>
      </c>
      <c r="D711">
        <v>469.96849809999998</v>
      </c>
      <c r="E711">
        <v>469.56921469999997</v>
      </c>
    </row>
    <row r="712" spans="2:5" x14ac:dyDescent="0.3">
      <c r="B712">
        <v>472.23528495453212</v>
      </c>
      <c r="C712">
        <v>462.2270688028014</v>
      </c>
      <c r="D712">
        <v>469.96421880000003</v>
      </c>
      <c r="E712">
        <v>469.63756369999999</v>
      </c>
    </row>
    <row r="713" spans="2:5" x14ac:dyDescent="0.3">
      <c r="B713">
        <v>460.59231689521783</v>
      </c>
      <c r="C713">
        <v>465.62961369199701</v>
      </c>
      <c r="D713">
        <v>469.99564770000001</v>
      </c>
      <c r="E713">
        <v>469.5524959</v>
      </c>
    </row>
    <row r="714" spans="2:5" x14ac:dyDescent="0.3">
      <c r="B714">
        <v>481.25086185605403</v>
      </c>
      <c r="C714">
        <v>462.95030747320476</v>
      </c>
      <c r="D714">
        <v>470.18734999999998</v>
      </c>
      <c r="E714">
        <v>469.51989950000001</v>
      </c>
    </row>
    <row r="715" spans="2:5" x14ac:dyDescent="0.3">
      <c r="B715">
        <v>463.76468021957129</v>
      </c>
      <c r="C715">
        <v>463.3720935106893</v>
      </c>
      <c r="D715">
        <v>470.05629950000002</v>
      </c>
      <c r="E715">
        <v>469.6533771</v>
      </c>
    </row>
    <row r="716" spans="2:5" x14ac:dyDescent="0.3">
      <c r="B716">
        <v>472.05630554576686</v>
      </c>
      <c r="C716">
        <v>456.41477993659078</v>
      </c>
      <c r="D716">
        <v>470.34639529999998</v>
      </c>
      <c r="E716">
        <v>469.5505493</v>
      </c>
    </row>
    <row r="717" spans="2:5" x14ac:dyDescent="0.3">
      <c r="B717">
        <v>465.52077683431366</v>
      </c>
      <c r="C717">
        <v>470.34584576563702</v>
      </c>
      <c r="D717">
        <v>470.18736990000002</v>
      </c>
      <c r="E717">
        <v>469.52394909999998</v>
      </c>
    </row>
    <row r="718" spans="2:5" x14ac:dyDescent="0.3">
      <c r="B718">
        <v>456.38549013829788</v>
      </c>
      <c r="C718">
        <v>468.68676047229371</v>
      </c>
      <c r="D718">
        <v>470.21875970000002</v>
      </c>
      <c r="E718">
        <v>469.67736860000002</v>
      </c>
    </row>
    <row r="719" spans="2:5" x14ac:dyDescent="0.3">
      <c r="B719">
        <v>468.9372082472272</v>
      </c>
      <c r="C719">
        <v>470.70047757460935</v>
      </c>
      <c r="D719">
        <v>470.169061</v>
      </c>
      <c r="E719">
        <v>469.69008480000002</v>
      </c>
    </row>
    <row r="720" spans="2:5" x14ac:dyDescent="0.3">
      <c r="B720">
        <v>455.80413305060137</v>
      </c>
      <c r="C720">
        <v>474.81245050707429</v>
      </c>
      <c r="D720">
        <v>470.12581999999998</v>
      </c>
      <c r="E720">
        <v>469.66299359999999</v>
      </c>
    </row>
    <row r="721" spans="2:5" x14ac:dyDescent="0.3">
      <c r="B721">
        <v>455.70368449011204</v>
      </c>
      <c r="C721">
        <v>473.68293073051257</v>
      </c>
      <c r="D721">
        <v>470.19126619999997</v>
      </c>
      <c r="E721">
        <v>469.59276440000002</v>
      </c>
    </row>
    <row r="722" spans="2:5" x14ac:dyDescent="0.3">
      <c r="B722">
        <v>469.44838225158315</v>
      </c>
      <c r="C722">
        <v>459.43477907161122</v>
      </c>
      <c r="D722">
        <v>470.28156790000003</v>
      </c>
      <c r="E722">
        <v>469.76535130000002</v>
      </c>
    </row>
    <row r="723" spans="2:5" x14ac:dyDescent="0.3">
      <c r="B723">
        <v>460.22486328032943</v>
      </c>
      <c r="C723">
        <v>481.18807151568961</v>
      </c>
      <c r="D723">
        <v>470.12784399999998</v>
      </c>
      <c r="E723">
        <v>469.60236620000001</v>
      </c>
    </row>
    <row r="724" spans="2:5" x14ac:dyDescent="0.3">
      <c r="B724">
        <v>462.22475625707375</v>
      </c>
      <c r="C724">
        <v>478.88087890555744</v>
      </c>
      <c r="D724">
        <v>470.0236721</v>
      </c>
      <c r="E724">
        <v>469.70019619999999</v>
      </c>
    </row>
    <row r="725" spans="2:5" x14ac:dyDescent="0.3">
      <c r="B725">
        <v>460.87207413229072</v>
      </c>
      <c r="C725">
        <v>470.99271336570081</v>
      </c>
      <c r="D725">
        <v>470.17295100000001</v>
      </c>
      <c r="E725">
        <v>469.58315950000002</v>
      </c>
    </row>
    <row r="726" spans="2:5" x14ac:dyDescent="0.3">
      <c r="B726">
        <v>460.37204621826066</v>
      </c>
      <c r="C726">
        <v>460.18694678992091</v>
      </c>
      <c r="D726">
        <v>470.17989240000003</v>
      </c>
      <c r="E726">
        <v>469.70597279999998</v>
      </c>
    </row>
    <row r="727" spans="2:5" x14ac:dyDescent="0.3">
      <c r="B727">
        <v>475.20959008686992</v>
      </c>
      <c r="C727">
        <v>470.13193976768275</v>
      </c>
      <c r="D727">
        <v>470.29736700000001</v>
      </c>
      <c r="E727">
        <v>469.68954830000001</v>
      </c>
    </row>
    <row r="728" spans="2:5" x14ac:dyDescent="0.3">
      <c r="B728">
        <v>451.72423616042664</v>
      </c>
      <c r="C728">
        <v>479.1717314893823</v>
      </c>
      <c r="D728">
        <v>470.17668859999998</v>
      </c>
      <c r="E728">
        <v>469.73099569999999</v>
      </c>
    </row>
    <row r="729" spans="2:5" x14ac:dyDescent="0.3">
      <c r="B729">
        <v>454.66969613423095</v>
      </c>
      <c r="C729">
        <v>469.21092907344882</v>
      </c>
      <c r="D729">
        <v>470.11037629999998</v>
      </c>
      <c r="E729">
        <v>469.46581609999998</v>
      </c>
    </row>
    <row r="730" spans="2:5" x14ac:dyDescent="0.3">
      <c r="B730">
        <v>479.21703470024897</v>
      </c>
      <c r="C730">
        <v>470.94799539676723</v>
      </c>
      <c r="D730">
        <v>470.08021780000001</v>
      </c>
      <c r="E730">
        <v>469.54520639999998</v>
      </c>
    </row>
    <row r="731" spans="2:5" x14ac:dyDescent="0.3">
      <c r="B731">
        <v>460.48867218064311</v>
      </c>
      <c r="C731">
        <v>470.20448044018923</v>
      </c>
      <c r="D731">
        <v>470.11313330000002</v>
      </c>
      <c r="E731">
        <v>469.62305179999998</v>
      </c>
    </row>
    <row r="732" spans="2:5" x14ac:dyDescent="0.3">
      <c r="B732">
        <v>464.51715594540661</v>
      </c>
      <c r="C732">
        <v>466.37039313570995</v>
      </c>
      <c r="D732">
        <v>470.1543532</v>
      </c>
      <c r="E732">
        <v>469.64964270000002</v>
      </c>
    </row>
    <row r="733" spans="2:5" x14ac:dyDescent="0.3">
      <c r="B733">
        <v>457.53363946911054</v>
      </c>
      <c r="C733">
        <v>476.61530284458746</v>
      </c>
      <c r="D733">
        <v>470.055205</v>
      </c>
      <c r="E733">
        <v>469.67604390000002</v>
      </c>
    </row>
    <row r="734" spans="2:5" x14ac:dyDescent="0.3">
      <c r="B734">
        <v>460.07011696466355</v>
      </c>
      <c r="C734">
        <v>463.18883045387412</v>
      </c>
      <c r="D734">
        <v>470.26407360000002</v>
      </c>
      <c r="E734">
        <v>469.6494113</v>
      </c>
    </row>
    <row r="735" spans="2:5" x14ac:dyDescent="0.3">
      <c r="B735">
        <v>463.26755326294324</v>
      </c>
      <c r="C735">
        <v>465.24438194067193</v>
      </c>
      <c r="D735">
        <v>470.05622590000002</v>
      </c>
      <c r="E735">
        <v>469.5916019</v>
      </c>
    </row>
    <row r="736" spans="2:5" x14ac:dyDescent="0.3">
      <c r="B736">
        <v>468.06634620900581</v>
      </c>
      <c r="C736">
        <v>473.70411014424639</v>
      </c>
      <c r="D736">
        <v>470.14799770000002</v>
      </c>
      <c r="E736">
        <v>469.63808899999998</v>
      </c>
    </row>
    <row r="737" spans="2:5" x14ac:dyDescent="0.3">
      <c r="B737">
        <v>471.53469149576847</v>
      </c>
      <c r="C737">
        <v>463.34387084112967</v>
      </c>
      <c r="D737">
        <v>470.0297956</v>
      </c>
      <c r="E737">
        <v>469.5971725</v>
      </c>
    </row>
    <row r="738" spans="2:5" x14ac:dyDescent="0.3">
      <c r="B738">
        <v>467.42872622308982</v>
      </c>
      <c r="C738">
        <v>473.82012302263587</v>
      </c>
      <c r="D738">
        <v>470.19033200000001</v>
      </c>
      <c r="E738">
        <v>469.71519840000002</v>
      </c>
    </row>
    <row r="739" spans="2:5" x14ac:dyDescent="0.3">
      <c r="B739">
        <v>463.71626659734102</v>
      </c>
      <c r="C739">
        <v>471.52386442013267</v>
      </c>
      <c r="D739">
        <v>470.25462759999999</v>
      </c>
      <c r="E739">
        <v>469.60137020000002</v>
      </c>
    </row>
    <row r="740" spans="2:5" x14ac:dyDescent="0.3">
      <c r="B740">
        <v>466.44251807390901</v>
      </c>
      <c r="C740">
        <v>460.09060788874518</v>
      </c>
      <c r="D740">
        <v>469.9944117</v>
      </c>
      <c r="E740">
        <v>469.62999680000001</v>
      </c>
    </row>
    <row r="741" spans="2:5" x14ac:dyDescent="0.3">
      <c r="B741">
        <v>455.94870298140347</v>
      </c>
      <c r="C741">
        <v>467.84284468642312</v>
      </c>
      <c r="D741">
        <v>470.07409749999999</v>
      </c>
      <c r="E741">
        <v>469.58070800000002</v>
      </c>
    </row>
    <row r="742" spans="2:5" x14ac:dyDescent="0.3">
      <c r="B742">
        <v>479.66885808896507</v>
      </c>
      <c r="C742">
        <v>467.63105436797218</v>
      </c>
      <c r="D742">
        <v>470.064594</v>
      </c>
      <c r="E742">
        <v>469.62492359999999</v>
      </c>
    </row>
    <row r="743" spans="2:5" x14ac:dyDescent="0.3">
      <c r="B743">
        <v>471.08227477585393</v>
      </c>
      <c r="C743">
        <v>463.87450286558538</v>
      </c>
      <c r="D743">
        <v>470.27390559999998</v>
      </c>
      <c r="E743">
        <v>469.63377250000002</v>
      </c>
    </row>
    <row r="744" spans="2:5" x14ac:dyDescent="0.3">
      <c r="B744">
        <v>469.66089404317643</v>
      </c>
      <c r="C744">
        <v>468.02635864464304</v>
      </c>
      <c r="D744">
        <v>470.08821460000001</v>
      </c>
      <c r="E744">
        <v>469.56894560000001</v>
      </c>
    </row>
    <row r="745" spans="2:5" x14ac:dyDescent="0.3">
      <c r="B745">
        <v>472.10939060562265</v>
      </c>
      <c r="C745">
        <v>469.35785943910383</v>
      </c>
      <c r="D745">
        <v>470.18491230000001</v>
      </c>
      <c r="E745">
        <v>469.64501610000002</v>
      </c>
    </row>
    <row r="746" spans="2:5" x14ac:dyDescent="0.3">
      <c r="B746">
        <v>465.55489748214984</v>
      </c>
      <c r="C746">
        <v>469.97591301797104</v>
      </c>
      <c r="D746">
        <v>470.25694879999998</v>
      </c>
      <c r="E746">
        <v>469.60251729999999</v>
      </c>
    </row>
    <row r="747" spans="2:5" x14ac:dyDescent="0.3">
      <c r="B747">
        <v>470.89798087324823</v>
      </c>
      <c r="C747">
        <v>460.55685469302642</v>
      </c>
      <c r="D747">
        <v>470.1483412</v>
      </c>
      <c r="E747">
        <v>469.66377139999997</v>
      </c>
    </row>
    <row r="748" spans="2:5" x14ac:dyDescent="0.3">
      <c r="B748">
        <v>458.95580145651167</v>
      </c>
      <c r="C748">
        <v>479.7254952169086</v>
      </c>
      <c r="D748">
        <v>470.26838579999998</v>
      </c>
      <c r="E748">
        <v>469.69667759999999</v>
      </c>
    </row>
    <row r="749" spans="2:5" x14ac:dyDescent="0.3">
      <c r="B749">
        <v>450.23119686022261</v>
      </c>
      <c r="C749">
        <v>457.20611240027779</v>
      </c>
      <c r="D749">
        <v>470.13957149999999</v>
      </c>
      <c r="E749">
        <v>469.53347869999999</v>
      </c>
    </row>
    <row r="750" spans="2:5" x14ac:dyDescent="0.3">
      <c r="B750">
        <v>460.96101958354808</v>
      </c>
      <c r="C750">
        <v>468.9838409057146</v>
      </c>
      <c r="D750">
        <v>470.08197009999998</v>
      </c>
      <c r="E750">
        <v>469.67300369999998</v>
      </c>
    </row>
    <row r="751" spans="2:5" x14ac:dyDescent="0.3">
      <c r="B751">
        <v>462.056183517612</v>
      </c>
      <c r="C751">
        <v>474.06091950822685</v>
      </c>
      <c r="D751">
        <v>470.21511340000001</v>
      </c>
      <c r="E751">
        <v>469.60333300000002</v>
      </c>
    </row>
    <row r="752" spans="2:5" x14ac:dyDescent="0.3">
      <c r="B752">
        <v>465.79254074674589</v>
      </c>
      <c r="C752">
        <v>461.11348420052371</v>
      </c>
      <c r="D752">
        <v>470.12400630000002</v>
      </c>
      <c r="E752">
        <v>469.5421399</v>
      </c>
    </row>
    <row r="753" spans="2:5" x14ac:dyDescent="0.3">
      <c r="B753">
        <v>465.92641494425862</v>
      </c>
      <c r="C753">
        <v>467.38118964546652</v>
      </c>
      <c r="D753">
        <v>470.00698210000002</v>
      </c>
      <c r="E753">
        <v>469.63990760000002</v>
      </c>
    </row>
    <row r="754" spans="2:5" x14ac:dyDescent="0.3">
      <c r="B754">
        <v>479.46642799744325</v>
      </c>
      <c r="C754">
        <v>475.47273132031188</v>
      </c>
      <c r="D754">
        <v>470.09249149999999</v>
      </c>
      <c r="E754">
        <v>469.63244570000001</v>
      </c>
    </row>
    <row r="755" spans="2:5" x14ac:dyDescent="0.3">
      <c r="B755">
        <v>476.27575397421106</v>
      </c>
      <c r="C755">
        <v>459.41512836402933</v>
      </c>
      <c r="D755">
        <v>470.10139179999999</v>
      </c>
      <c r="E755">
        <v>469.70770720000002</v>
      </c>
    </row>
    <row r="756" spans="2:5" x14ac:dyDescent="0.3">
      <c r="B756">
        <v>466.1868396943982</v>
      </c>
      <c r="C756">
        <v>472.37787731270168</v>
      </c>
      <c r="D756">
        <v>469.95346949999998</v>
      </c>
      <c r="E756">
        <v>469.5872746</v>
      </c>
    </row>
    <row r="757" spans="2:5" x14ac:dyDescent="0.3">
      <c r="B757">
        <v>479.89427322894232</v>
      </c>
      <c r="C757">
        <v>465.07038260565588</v>
      </c>
      <c r="D757">
        <v>469.97501670000003</v>
      </c>
      <c r="E757">
        <v>469.62374190000003</v>
      </c>
    </row>
    <row r="758" spans="2:5" x14ac:dyDescent="0.3">
      <c r="B758">
        <v>457.22652836550344</v>
      </c>
      <c r="C758">
        <v>465.24257002636693</v>
      </c>
      <c r="D758">
        <v>470.33931130000002</v>
      </c>
      <c r="E758">
        <v>469.59509120000001</v>
      </c>
    </row>
    <row r="759" spans="2:5" x14ac:dyDescent="0.3">
      <c r="B759">
        <v>459.13626124519431</v>
      </c>
      <c r="C759">
        <v>461.68504382964761</v>
      </c>
      <c r="D759">
        <v>470.18170029999999</v>
      </c>
      <c r="E759">
        <v>469.55725039999999</v>
      </c>
    </row>
    <row r="760" spans="2:5" x14ac:dyDescent="0.3">
      <c r="B760">
        <v>476.05867788340151</v>
      </c>
      <c r="C760">
        <v>476.95297446182832</v>
      </c>
      <c r="D760">
        <v>470.0928174</v>
      </c>
      <c r="E760">
        <v>469.55061920000003</v>
      </c>
    </row>
    <row r="761" spans="2:5" x14ac:dyDescent="0.3">
      <c r="B761">
        <v>461.01301850261444</v>
      </c>
      <c r="C761">
        <v>462.15809119116642</v>
      </c>
      <c r="D761">
        <v>470.25730049999999</v>
      </c>
      <c r="E761">
        <v>469.60000170000001</v>
      </c>
    </row>
    <row r="762" spans="2:5" x14ac:dyDescent="0.3">
      <c r="B762">
        <v>477.76389287918505</v>
      </c>
      <c r="C762">
        <v>462.340620624064</v>
      </c>
      <c r="D762">
        <v>470.11014069999999</v>
      </c>
      <c r="E762">
        <v>469.59925939999999</v>
      </c>
    </row>
    <row r="763" spans="2:5" x14ac:dyDescent="0.3">
      <c r="B763">
        <v>445.51096797063269</v>
      </c>
      <c r="C763">
        <v>470.77409226553937</v>
      </c>
      <c r="D763">
        <v>470.1589783</v>
      </c>
      <c r="E763">
        <v>469.66061120000001</v>
      </c>
    </row>
    <row r="764" spans="2:5" x14ac:dyDescent="0.3">
      <c r="B764">
        <v>469.76423003968029</v>
      </c>
      <c r="C764">
        <v>471.61068897189517</v>
      </c>
      <c r="D764">
        <v>470.1755943</v>
      </c>
      <c r="E764">
        <v>469.70890859999997</v>
      </c>
    </row>
    <row r="765" spans="2:5" x14ac:dyDescent="0.3">
      <c r="B765">
        <v>469.09604831946473</v>
      </c>
      <c r="C765">
        <v>476.61500727041761</v>
      </c>
      <c r="D765">
        <v>470.12886980000002</v>
      </c>
      <c r="E765">
        <v>469.61701840000001</v>
      </c>
    </row>
    <row r="766" spans="2:5" x14ac:dyDescent="0.3">
      <c r="B766">
        <v>474.40718092801012</v>
      </c>
      <c r="C766">
        <v>456.31162288497075</v>
      </c>
      <c r="D766">
        <v>470.30466130000002</v>
      </c>
      <c r="E766">
        <v>469.77902779999999</v>
      </c>
    </row>
    <row r="767" spans="2:5" x14ac:dyDescent="0.3">
      <c r="B767">
        <v>476.26754083165378</v>
      </c>
      <c r="C767">
        <v>469.48064183029391</v>
      </c>
      <c r="D767">
        <v>470.19077909999999</v>
      </c>
      <c r="E767">
        <v>469.51725720000002</v>
      </c>
    </row>
    <row r="768" spans="2:5" x14ac:dyDescent="0.3">
      <c r="B768">
        <v>474.07173748016669</v>
      </c>
      <c r="C768">
        <v>466.9428538980556</v>
      </c>
      <c r="D768">
        <v>469.95587719999997</v>
      </c>
      <c r="E768">
        <v>469.55694990000001</v>
      </c>
    </row>
    <row r="769" spans="2:5" x14ac:dyDescent="0.3">
      <c r="B769">
        <v>451.95329344194892</v>
      </c>
      <c r="C769">
        <v>469.24199955978088</v>
      </c>
      <c r="D769">
        <v>470.22943900000001</v>
      </c>
      <c r="E769">
        <v>469.69705759999999</v>
      </c>
    </row>
    <row r="770" spans="2:5" x14ac:dyDescent="0.3">
      <c r="B770">
        <v>472.41937162266498</v>
      </c>
      <c r="C770">
        <v>468.02347582677356</v>
      </c>
      <c r="D770">
        <v>470.30419260000002</v>
      </c>
      <c r="E770">
        <v>469.58951589999998</v>
      </c>
    </row>
    <row r="771" spans="2:5" x14ac:dyDescent="0.3">
      <c r="B771">
        <v>470.1626136650471</v>
      </c>
      <c r="C771">
        <v>468.72542049427943</v>
      </c>
      <c r="D771">
        <v>470.06646360000002</v>
      </c>
      <c r="E771">
        <v>469.56058359999997</v>
      </c>
    </row>
    <row r="772" spans="2:5" x14ac:dyDescent="0.3">
      <c r="B772">
        <v>468.17475235109504</v>
      </c>
      <c r="C772">
        <v>470.79594967832202</v>
      </c>
      <c r="D772">
        <v>470.19735910000003</v>
      </c>
      <c r="E772">
        <v>469.57863579999997</v>
      </c>
    </row>
    <row r="773" spans="2:5" x14ac:dyDescent="0.3">
      <c r="B773">
        <v>457.6562136802707</v>
      </c>
      <c r="C773">
        <v>473.6626976057143</v>
      </c>
      <c r="D773">
        <v>470.11681579999998</v>
      </c>
      <c r="E773">
        <v>469.5281794</v>
      </c>
    </row>
    <row r="774" spans="2:5" x14ac:dyDescent="0.3">
      <c r="B774">
        <v>459.02922920866746</v>
      </c>
      <c r="C774">
        <v>468.64244079587939</v>
      </c>
      <c r="D774">
        <v>470.13350279999997</v>
      </c>
      <c r="E774">
        <v>469.61277539999998</v>
      </c>
    </row>
    <row r="775" spans="2:5" x14ac:dyDescent="0.3">
      <c r="B775">
        <v>463.24311977343365</v>
      </c>
      <c r="C775">
        <v>463.93867652304351</v>
      </c>
      <c r="D775">
        <v>470.117144</v>
      </c>
      <c r="E775">
        <v>469.53586159999998</v>
      </c>
    </row>
    <row r="776" spans="2:5" x14ac:dyDescent="0.3">
      <c r="B776">
        <v>476.51899568175685</v>
      </c>
      <c r="C776">
        <v>466.80490219815448</v>
      </c>
      <c r="D776">
        <v>470.09872209999997</v>
      </c>
      <c r="E776">
        <v>469.58654840000003</v>
      </c>
    </row>
    <row r="777" spans="2:5" x14ac:dyDescent="0.3">
      <c r="B777">
        <v>462.6674429923246</v>
      </c>
      <c r="C777">
        <v>457.3662807788308</v>
      </c>
      <c r="D777">
        <v>470.08003589999998</v>
      </c>
      <c r="E777">
        <v>469.63611129999998</v>
      </c>
    </row>
    <row r="778" spans="2:5" x14ac:dyDescent="0.3">
      <c r="B778">
        <v>458.33495497199601</v>
      </c>
      <c r="C778">
        <v>465.56644389148386</v>
      </c>
      <c r="D778">
        <v>470.02205850000001</v>
      </c>
      <c r="E778">
        <v>469.61585830000001</v>
      </c>
    </row>
    <row r="779" spans="2:5" x14ac:dyDescent="0.3">
      <c r="B779">
        <v>481.24077222998466</v>
      </c>
      <c r="C779">
        <v>473.62097062615442</v>
      </c>
      <c r="D779">
        <v>470.19120600000002</v>
      </c>
      <c r="E779">
        <v>469.58883049999997</v>
      </c>
    </row>
    <row r="780" spans="2:5" x14ac:dyDescent="0.3">
      <c r="B780">
        <v>468.10153574177309</v>
      </c>
      <c r="C780">
        <v>467.09547142539282</v>
      </c>
      <c r="D780">
        <v>470.0962849</v>
      </c>
      <c r="E780">
        <v>469.61647740000001</v>
      </c>
    </row>
    <row r="781" spans="2:5" x14ac:dyDescent="0.3">
      <c r="B781">
        <v>463.14487274792998</v>
      </c>
      <c r="C781">
        <v>478.49216779014466</v>
      </c>
      <c r="D781">
        <v>470.15006779999999</v>
      </c>
      <c r="E781">
        <v>469.716947</v>
      </c>
    </row>
    <row r="782" spans="2:5" x14ac:dyDescent="0.3">
      <c r="B782">
        <v>455.87382907252282</v>
      </c>
      <c r="C782">
        <v>465.82963034733496</v>
      </c>
      <c r="D782">
        <v>470.12932699999999</v>
      </c>
      <c r="E782">
        <v>469.51200349999999</v>
      </c>
    </row>
    <row r="783" spans="2:5" x14ac:dyDescent="0.3">
      <c r="B783">
        <v>468.02165964780966</v>
      </c>
      <c r="C783">
        <v>478.35744481778931</v>
      </c>
      <c r="D783">
        <v>470.12085810000002</v>
      </c>
      <c r="E783">
        <v>469.77516969999999</v>
      </c>
    </row>
    <row r="784" spans="2:5" x14ac:dyDescent="0.3">
      <c r="B784">
        <v>464.63929265834196</v>
      </c>
      <c r="C784">
        <v>472.65094944026816</v>
      </c>
      <c r="D784">
        <v>470.1117021</v>
      </c>
      <c r="E784">
        <v>469.61370269999998</v>
      </c>
    </row>
    <row r="785" spans="2:5" x14ac:dyDescent="0.3">
      <c r="B785">
        <v>457.88125146493854</v>
      </c>
      <c r="C785">
        <v>469.58167307615315</v>
      </c>
      <c r="D785">
        <v>470.20927089999998</v>
      </c>
      <c r="E785">
        <v>469.7002301</v>
      </c>
    </row>
    <row r="786" spans="2:5" x14ac:dyDescent="0.3">
      <c r="B786">
        <v>457.12873114482159</v>
      </c>
      <c r="C786">
        <v>474.11652047370899</v>
      </c>
      <c r="D786">
        <v>470.06981389999999</v>
      </c>
      <c r="E786">
        <v>469.58363370000001</v>
      </c>
    </row>
    <row r="787" spans="2:5" x14ac:dyDescent="0.3">
      <c r="B787">
        <v>470.32527867099714</v>
      </c>
      <c r="C787">
        <v>472.4484455613121</v>
      </c>
      <c r="D787">
        <v>470.24421380000001</v>
      </c>
      <c r="E787">
        <v>469.62604229999999</v>
      </c>
    </row>
    <row r="788" spans="2:5" x14ac:dyDescent="0.3">
      <c r="B788">
        <v>474.24663054406619</v>
      </c>
      <c r="C788">
        <v>474.50455172070821</v>
      </c>
      <c r="D788">
        <v>470.27326490000002</v>
      </c>
      <c r="E788">
        <v>469.60080629999999</v>
      </c>
    </row>
    <row r="789" spans="2:5" x14ac:dyDescent="0.3">
      <c r="B789">
        <v>467.99998066487751</v>
      </c>
      <c r="C789">
        <v>471.03813852398048</v>
      </c>
      <c r="D789">
        <v>470.11866420000001</v>
      </c>
      <c r="E789">
        <v>469.61824159999998</v>
      </c>
    </row>
    <row r="790" spans="2:5" x14ac:dyDescent="0.3">
      <c r="B790">
        <v>479.51665452704196</v>
      </c>
      <c r="C790">
        <v>474.33277254696958</v>
      </c>
      <c r="D790">
        <v>470.22112320000002</v>
      </c>
      <c r="E790">
        <v>469.57185320000002</v>
      </c>
    </row>
    <row r="791" spans="2:5" x14ac:dyDescent="0.3">
      <c r="B791">
        <v>465.37187744084389</v>
      </c>
      <c r="C791">
        <v>468.19306601647878</v>
      </c>
      <c r="D791">
        <v>470.1155632</v>
      </c>
      <c r="E791">
        <v>469.66892960000001</v>
      </c>
    </row>
    <row r="792" spans="2:5" x14ac:dyDescent="0.3">
      <c r="B792">
        <v>459.59977385649694</v>
      </c>
      <c r="C792">
        <v>468.80263321142934</v>
      </c>
      <c r="D792">
        <v>470.17369400000001</v>
      </c>
      <c r="E792">
        <v>469.67844050000002</v>
      </c>
    </row>
    <row r="793" spans="2:5" x14ac:dyDescent="0.3">
      <c r="B793">
        <v>462.01998624101327</v>
      </c>
      <c r="C793">
        <v>482.62992104759189</v>
      </c>
      <c r="D793">
        <v>469.97783270000002</v>
      </c>
      <c r="E793">
        <v>469.63383520000002</v>
      </c>
    </row>
    <row r="794" spans="2:5" x14ac:dyDescent="0.3">
      <c r="B794">
        <v>475.83436262211438</v>
      </c>
      <c r="C794">
        <v>464.70815094794148</v>
      </c>
      <c r="D794">
        <v>470.24053529999998</v>
      </c>
      <c r="E794">
        <v>469.74301170000001</v>
      </c>
    </row>
    <row r="795" spans="2:5" x14ac:dyDescent="0.3">
      <c r="B795">
        <v>462.42592243417408</v>
      </c>
      <c r="C795">
        <v>469.5591809785098</v>
      </c>
      <c r="D795">
        <v>470.09972870000001</v>
      </c>
      <c r="E795">
        <v>469.60317209999999</v>
      </c>
    </row>
    <row r="796" spans="2:5" x14ac:dyDescent="0.3">
      <c r="B796">
        <v>447.43451907008188</v>
      </c>
      <c r="C796">
        <v>471.1643666844833</v>
      </c>
      <c r="D796">
        <v>470.1358156</v>
      </c>
      <c r="E796">
        <v>469.6755503</v>
      </c>
    </row>
    <row r="797" spans="2:5" x14ac:dyDescent="0.3">
      <c r="B797">
        <v>479.49664533704834</v>
      </c>
      <c r="C797">
        <v>473.13083787087544</v>
      </c>
      <c r="D797">
        <v>470.08560740000001</v>
      </c>
      <c r="E797">
        <v>469.65824730000003</v>
      </c>
    </row>
    <row r="798" spans="2:5" x14ac:dyDescent="0.3">
      <c r="B798">
        <v>468.24938166541153</v>
      </c>
      <c r="C798">
        <v>480.8967659603353</v>
      </c>
      <c r="D798">
        <v>470.15289109999998</v>
      </c>
      <c r="E798">
        <v>469.60901740000003</v>
      </c>
    </row>
    <row r="799" spans="2:5" x14ac:dyDescent="0.3">
      <c r="B799">
        <v>461.27080054187695</v>
      </c>
      <c r="C799">
        <v>470.70565575372569</v>
      </c>
      <c r="D799">
        <v>470.11976540000001</v>
      </c>
      <c r="E799">
        <v>469.62992220000001</v>
      </c>
    </row>
    <row r="800" spans="2:5" x14ac:dyDescent="0.3">
      <c r="B800">
        <v>456.02459307138326</v>
      </c>
      <c r="C800">
        <v>476.23854351621719</v>
      </c>
      <c r="D800">
        <v>470.15073719999998</v>
      </c>
      <c r="E800">
        <v>469.61515109999999</v>
      </c>
    </row>
    <row r="801" spans="2:5" x14ac:dyDescent="0.3">
      <c r="B801">
        <v>458.9589327683409</v>
      </c>
      <c r="C801">
        <v>468.98135794359041</v>
      </c>
      <c r="D801">
        <v>470.16479090000001</v>
      </c>
      <c r="E801">
        <v>469.6446072</v>
      </c>
    </row>
    <row r="802" spans="2:5" x14ac:dyDescent="0.3">
      <c r="B802">
        <v>467.12556708017075</v>
      </c>
      <c r="C802">
        <v>464.70485694962662</v>
      </c>
      <c r="D802">
        <v>470.04881469999998</v>
      </c>
      <c r="E802">
        <v>469.67960429999999</v>
      </c>
    </row>
    <row r="803" spans="2:5" x14ac:dyDescent="0.3">
      <c r="B803">
        <v>460.40031378461265</v>
      </c>
      <c r="C803">
        <v>463.22667004279543</v>
      </c>
      <c r="D803">
        <v>470.20959900000003</v>
      </c>
      <c r="E803">
        <v>469.62766670000002</v>
      </c>
    </row>
    <row r="804" spans="2:5" x14ac:dyDescent="0.3">
      <c r="B804">
        <v>452.48687799254958</v>
      </c>
      <c r="C804">
        <v>475.31415245849331</v>
      </c>
      <c r="D804">
        <v>470.17674959999999</v>
      </c>
      <c r="E804">
        <v>469.5891689</v>
      </c>
    </row>
    <row r="805" spans="2:5" x14ac:dyDescent="0.3">
      <c r="B805">
        <v>450.7013622487591</v>
      </c>
      <c r="C805">
        <v>477.35841742455011</v>
      </c>
      <c r="D805">
        <v>469.8930368</v>
      </c>
      <c r="E805">
        <v>469.76442989999998</v>
      </c>
    </row>
    <row r="806" spans="2:5" x14ac:dyDescent="0.3">
      <c r="B806">
        <v>474.49943832146164</v>
      </c>
      <c r="C806">
        <v>468.65568499725185</v>
      </c>
      <c r="D806">
        <v>470.19432899999998</v>
      </c>
      <c r="E806">
        <v>469.6842365</v>
      </c>
    </row>
    <row r="807" spans="2:5" x14ac:dyDescent="0.3">
      <c r="B807">
        <v>475.54614888489186</v>
      </c>
      <c r="C807">
        <v>483.81862811941153</v>
      </c>
      <c r="D807">
        <v>470.12352620000001</v>
      </c>
      <c r="E807">
        <v>469.66266180000002</v>
      </c>
    </row>
    <row r="808" spans="2:5" x14ac:dyDescent="0.3">
      <c r="B808">
        <v>480.65429286243784</v>
      </c>
      <c r="C808">
        <v>475.62800870131514</v>
      </c>
      <c r="D808">
        <v>470.14856780000002</v>
      </c>
      <c r="E808">
        <v>469.691757</v>
      </c>
    </row>
    <row r="809" spans="2:5" x14ac:dyDescent="0.3">
      <c r="B809">
        <v>473.65756989177351</v>
      </c>
      <c r="C809">
        <v>458.08601779787011</v>
      </c>
      <c r="D809">
        <v>470.251755</v>
      </c>
      <c r="E809">
        <v>469.66880270000001</v>
      </c>
    </row>
    <row r="810" spans="2:5" x14ac:dyDescent="0.3">
      <c r="B810">
        <v>454.82561589805618</v>
      </c>
      <c r="C810">
        <v>463.33875398952893</v>
      </c>
      <c r="D810">
        <v>470.3041877</v>
      </c>
      <c r="E810">
        <v>469.56986869999997</v>
      </c>
    </row>
    <row r="811" spans="2:5" x14ac:dyDescent="0.3">
      <c r="B811">
        <v>463.80427441537699</v>
      </c>
      <c r="C811">
        <v>463.45404726443002</v>
      </c>
      <c r="D811">
        <v>470.33076390000002</v>
      </c>
      <c r="E811">
        <v>469.53260019999999</v>
      </c>
    </row>
    <row r="812" spans="2:5" x14ac:dyDescent="0.3">
      <c r="B812">
        <v>482.46207430476016</v>
      </c>
      <c r="C812">
        <v>462.66241405084287</v>
      </c>
      <c r="D812">
        <v>470.31517239999999</v>
      </c>
      <c r="E812">
        <v>469.6133122</v>
      </c>
    </row>
    <row r="813" spans="2:5" x14ac:dyDescent="0.3">
      <c r="B813">
        <v>470.43538994449466</v>
      </c>
      <c r="C813">
        <v>472.93760032697804</v>
      </c>
      <c r="D813">
        <v>470.20150439999998</v>
      </c>
      <c r="E813">
        <v>469.61017889999999</v>
      </c>
    </row>
    <row r="814" spans="2:5" x14ac:dyDescent="0.3">
      <c r="B814">
        <v>476.27920074896696</v>
      </c>
      <c r="C814">
        <v>461.79426564133649</v>
      </c>
      <c r="D814">
        <v>470.14147400000002</v>
      </c>
      <c r="E814">
        <v>469.74247800000001</v>
      </c>
    </row>
    <row r="815" spans="2:5" x14ac:dyDescent="0.3">
      <c r="B815">
        <v>467.82223623723837</v>
      </c>
      <c r="C815">
        <v>461.47857370837932</v>
      </c>
      <c r="D815">
        <v>470.13035079999997</v>
      </c>
      <c r="E815">
        <v>469.56925519999999</v>
      </c>
    </row>
    <row r="816" spans="2:5" x14ac:dyDescent="0.3">
      <c r="B816">
        <v>443.57241073659452</v>
      </c>
      <c r="C816">
        <v>471.80027255392605</v>
      </c>
      <c r="D816">
        <v>470.1066783</v>
      </c>
      <c r="E816">
        <v>469.65853010000001</v>
      </c>
    </row>
    <row r="817" spans="2:5" x14ac:dyDescent="0.3">
      <c r="B817">
        <v>469.96098222834081</v>
      </c>
      <c r="C817">
        <v>464.67760241251909</v>
      </c>
      <c r="D817">
        <v>470.14240539999997</v>
      </c>
      <c r="E817">
        <v>469.63347160000001</v>
      </c>
    </row>
    <row r="818" spans="2:5" x14ac:dyDescent="0.3">
      <c r="B818">
        <v>459.80784401639244</v>
      </c>
      <c r="C818">
        <v>467.63430926912804</v>
      </c>
      <c r="D818">
        <v>469.98290939999998</v>
      </c>
      <c r="E818">
        <v>469.54601389999999</v>
      </c>
    </row>
    <row r="819" spans="2:5" x14ac:dyDescent="0.3">
      <c r="B819">
        <v>469.6090699621052</v>
      </c>
      <c r="C819">
        <v>460.88866974504839</v>
      </c>
      <c r="D819">
        <v>470.05995419999999</v>
      </c>
      <c r="E819">
        <v>469.63825129999998</v>
      </c>
    </row>
    <row r="820" spans="2:5" x14ac:dyDescent="0.3">
      <c r="B820">
        <v>468.22679871080749</v>
      </c>
      <c r="C820">
        <v>465.58130701196023</v>
      </c>
      <c r="D820">
        <v>470.15744960000001</v>
      </c>
      <c r="E820">
        <v>469.64920760000001</v>
      </c>
    </row>
    <row r="821" spans="2:5" x14ac:dyDescent="0.3">
      <c r="B821">
        <v>460.1682471949141</v>
      </c>
      <c r="C821">
        <v>462.56952406480451</v>
      </c>
      <c r="D821">
        <v>470.38162139999997</v>
      </c>
      <c r="E821">
        <v>469.61545749999999</v>
      </c>
    </row>
    <row r="822" spans="2:5" x14ac:dyDescent="0.3">
      <c r="B822">
        <v>467.10560200341484</v>
      </c>
      <c r="C822">
        <v>468.94867430911665</v>
      </c>
      <c r="D822">
        <v>470.25796000000003</v>
      </c>
      <c r="E822">
        <v>469.49287199999998</v>
      </c>
    </row>
    <row r="823" spans="2:5" x14ac:dyDescent="0.3">
      <c r="B823">
        <v>466.21646493372259</v>
      </c>
      <c r="C823">
        <v>463.84857054630265</v>
      </c>
      <c r="D823">
        <v>470.20756710000001</v>
      </c>
      <c r="E823">
        <v>469.57351999999997</v>
      </c>
    </row>
    <row r="824" spans="2:5" x14ac:dyDescent="0.3">
      <c r="B824">
        <v>467.11053496275656</v>
      </c>
      <c r="C824">
        <v>476.05293485049299</v>
      </c>
      <c r="D824">
        <v>470.05251149999998</v>
      </c>
      <c r="E824">
        <v>469.61469019999998</v>
      </c>
    </row>
    <row r="825" spans="2:5" x14ac:dyDescent="0.3">
      <c r="B825">
        <v>457.40651023963164</v>
      </c>
      <c r="C825">
        <v>461.88123410016436</v>
      </c>
      <c r="D825">
        <v>470.24099860000001</v>
      </c>
      <c r="E825">
        <v>469.62576689999997</v>
      </c>
    </row>
    <row r="826" spans="2:5" x14ac:dyDescent="0.3">
      <c r="B826">
        <v>463.78323467411849</v>
      </c>
      <c r="C826">
        <v>472.18100125742131</v>
      </c>
      <c r="D826">
        <v>470.28491109999999</v>
      </c>
      <c r="E826">
        <v>469.61269090000002</v>
      </c>
    </row>
    <row r="827" spans="2:5" x14ac:dyDescent="0.3">
      <c r="B827">
        <v>467.70263873216493</v>
      </c>
      <c r="C827">
        <v>473.90048915880737</v>
      </c>
      <c r="D827">
        <v>470.12760930000002</v>
      </c>
      <c r="E827">
        <v>469.6000899</v>
      </c>
    </row>
    <row r="828" spans="2:5" x14ac:dyDescent="0.3">
      <c r="B828">
        <v>477.90561093954551</v>
      </c>
      <c r="C828">
        <v>463.95076630155836</v>
      </c>
      <c r="D828">
        <v>470.22089249999999</v>
      </c>
      <c r="E828">
        <v>469.6181947</v>
      </c>
    </row>
    <row r="829" spans="2:5" x14ac:dyDescent="0.3">
      <c r="B829">
        <v>458.03061555691659</v>
      </c>
      <c r="C829">
        <v>469.76701065638144</v>
      </c>
      <c r="D829">
        <v>470.14599800000002</v>
      </c>
      <c r="E829">
        <v>469.67787909999998</v>
      </c>
    </row>
    <row r="830" spans="2:5" x14ac:dyDescent="0.3">
      <c r="B830">
        <v>469.40948935572249</v>
      </c>
      <c r="C830">
        <v>467.08833044127709</v>
      </c>
      <c r="D830">
        <v>469.94078459999997</v>
      </c>
      <c r="E830">
        <v>469.59376450000002</v>
      </c>
    </row>
    <row r="831" spans="2:5" x14ac:dyDescent="0.3">
      <c r="B831">
        <v>461.50322146915778</v>
      </c>
      <c r="C831">
        <v>471.53788573175405</v>
      </c>
      <c r="D831">
        <v>470.09004920000001</v>
      </c>
      <c r="E831">
        <v>469.54582690000001</v>
      </c>
    </row>
    <row r="832" spans="2:5" x14ac:dyDescent="0.3">
      <c r="B832">
        <v>472.94519594589457</v>
      </c>
      <c r="C832">
        <v>466.27447319396799</v>
      </c>
      <c r="D832">
        <v>470.27138330000002</v>
      </c>
      <c r="E832">
        <v>469.69170170000001</v>
      </c>
    </row>
    <row r="833" spans="2:5" x14ac:dyDescent="0.3">
      <c r="B833">
        <v>470.52302430618914</v>
      </c>
      <c r="C833">
        <v>478.77833200581318</v>
      </c>
      <c r="D833">
        <v>470.04837680000003</v>
      </c>
      <c r="E833">
        <v>469.64131300000003</v>
      </c>
    </row>
    <row r="834" spans="2:5" x14ac:dyDescent="0.3">
      <c r="B834">
        <v>461.36269122754362</v>
      </c>
      <c r="C834">
        <v>472.96393982458204</v>
      </c>
      <c r="D834">
        <v>470.2172319</v>
      </c>
      <c r="E834">
        <v>469.57456669999999</v>
      </c>
    </row>
    <row r="835" spans="2:5" x14ac:dyDescent="0.3">
      <c r="B835">
        <v>476.88000235849148</v>
      </c>
      <c r="C835">
        <v>474.44305843928237</v>
      </c>
      <c r="D835">
        <v>470.12953970000001</v>
      </c>
      <c r="E835">
        <v>469.68541590000001</v>
      </c>
    </row>
    <row r="836" spans="2:5" x14ac:dyDescent="0.3">
      <c r="B836">
        <v>472.18953153737039</v>
      </c>
      <c r="C836">
        <v>475.38632724024524</v>
      </c>
      <c r="D836">
        <v>470.12526769999999</v>
      </c>
      <c r="E836">
        <v>469.62335810000002</v>
      </c>
    </row>
    <row r="837" spans="2:5" x14ac:dyDescent="0.3">
      <c r="B837">
        <v>475.60804945703501</v>
      </c>
      <c r="C837">
        <v>465.39534539040295</v>
      </c>
      <c r="D837">
        <v>470.14988679999999</v>
      </c>
      <c r="E837">
        <v>469.6457896</v>
      </c>
    </row>
    <row r="838" spans="2:5" x14ac:dyDescent="0.3">
      <c r="B838">
        <v>466.44968038296719</v>
      </c>
      <c r="C838">
        <v>466.16242837402211</v>
      </c>
      <c r="D838">
        <v>470.0938582</v>
      </c>
      <c r="E838">
        <v>469.58185129999998</v>
      </c>
    </row>
    <row r="839" spans="2:5" x14ac:dyDescent="0.3">
      <c r="B839">
        <v>471.64371286750281</v>
      </c>
      <c r="C839">
        <v>457.70080402170538</v>
      </c>
      <c r="D839">
        <v>470.04391650000002</v>
      </c>
      <c r="E839">
        <v>469.42912790000003</v>
      </c>
    </row>
    <row r="840" spans="2:5" x14ac:dyDescent="0.3">
      <c r="B840">
        <v>459.97938514159642</v>
      </c>
      <c r="C840">
        <v>473.40703653759624</v>
      </c>
      <c r="D840">
        <v>470.13523170000002</v>
      </c>
      <c r="E840">
        <v>469.54200329999998</v>
      </c>
    </row>
    <row r="841" spans="2:5" x14ac:dyDescent="0.3">
      <c r="B841">
        <v>451.54732872226271</v>
      </c>
      <c r="C841">
        <v>468.31674813747821</v>
      </c>
      <c r="D841">
        <v>470.28085060000001</v>
      </c>
      <c r="E841">
        <v>469.52041250000002</v>
      </c>
    </row>
    <row r="842" spans="2:5" x14ac:dyDescent="0.3">
      <c r="B842">
        <v>468.50744332173713</v>
      </c>
      <c r="C842">
        <v>461.89902417415283</v>
      </c>
      <c r="D842">
        <v>470.23651330000001</v>
      </c>
      <c r="E842">
        <v>469.67789269999997</v>
      </c>
    </row>
    <row r="843" spans="2:5" x14ac:dyDescent="0.3">
      <c r="B843">
        <v>444.4135734028784</v>
      </c>
      <c r="C843">
        <v>472.84328917781141</v>
      </c>
      <c r="D843">
        <v>470.1386096</v>
      </c>
      <c r="E843">
        <v>469.66086769999998</v>
      </c>
    </row>
    <row r="844" spans="2:5" x14ac:dyDescent="0.3">
      <c r="B844">
        <v>461.98629090191616</v>
      </c>
      <c r="C844">
        <v>465.12707814431377</v>
      </c>
      <c r="D844">
        <v>470.11038680000001</v>
      </c>
      <c r="E844">
        <v>469.6597069</v>
      </c>
    </row>
    <row r="845" spans="2:5" x14ac:dyDescent="0.3">
      <c r="B845">
        <v>465.41422739559289</v>
      </c>
      <c r="C845">
        <v>465.36634333827828</v>
      </c>
      <c r="D845">
        <v>470.03816669999998</v>
      </c>
      <c r="E845">
        <v>469.5153115</v>
      </c>
    </row>
    <row r="846" spans="2:5" x14ac:dyDescent="0.3">
      <c r="B846">
        <v>461.25978561937939</v>
      </c>
      <c r="C846">
        <v>468.84909726810395</v>
      </c>
      <c r="D846">
        <v>470.23769809999999</v>
      </c>
      <c r="E846">
        <v>469.59154289999998</v>
      </c>
    </row>
    <row r="847" spans="2:5" x14ac:dyDescent="0.3">
      <c r="B847">
        <v>475.96788675682598</v>
      </c>
      <c r="C847">
        <v>471.59858190324724</v>
      </c>
      <c r="D847">
        <v>470.21512739999997</v>
      </c>
      <c r="E847">
        <v>469.69118850000001</v>
      </c>
    </row>
    <row r="848" spans="2:5" x14ac:dyDescent="0.3">
      <c r="B848">
        <v>454.92092800072146</v>
      </c>
      <c r="C848">
        <v>471.87325498011592</v>
      </c>
      <c r="D848">
        <v>470.22973200000001</v>
      </c>
      <c r="E848">
        <v>469.59947820000002</v>
      </c>
    </row>
    <row r="849" spans="2:5" x14ac:dyDescent="0.3">
      <c r="B849">
        <v>482.11349246900051</v>
      </c>
      <c r="C849">
        <v>462.11533758419216</v>
      </c>
      <c r="D849">
        <v>470.11458670000002</v>
      </c>
      <c r="E849">
        <v>469.62769379999997</v>
      </c>
    </row>
    <row r="850" spans="2:5" x14ac:dyDescent="0.3">
      <c r="B850">
        <v>483.79288861315752</v>
      </c>
      <c r="C850">
        <v>466.30402381611054</v>
      </c>
      <c r="D850">
        <v>470.1032629</v>
      </c>
      <c r="E850">
        <v>469.58834860000002</v>
      </c>
    </row>
    <row r="851" spans="2:5" x14ac:dyDescent="0.3">
      <c r="B851">
        <v>465.98226201358841</v>
      </c>
      <c r="C851">
        <v>472.52424755182784</v>
      </c>
      <c r="D851">
        <v>470.17129649999998</v>
      </c>
      <c r="E851">
        <v>469.67777990000002</v>
      </c>
    </row>
    <row r="852" spans="2:5" x14ac:dyDescent="0.3">
      <c r="B852">
        <v>467.87882565100483</v>
      </c>
      <c r="C852">
        <v>470.99256767854519</v>
      </c>
      <c r="D852">
        <v>470.11125609999999</v>
      </c>
      <c r="E852">
        <v>469.67479120000002</v>
      </c>
    </row>
    <row r="853" spans="2:5" x14ac:dyDescent="0.3">
      <c r="B853">
        <v>479.07870371483489</v>
      </c>
      <c r="C853">
        <v>474.9458644622689</v>
      </c>
      <c r="D853">
        <v>470.13422459999998</v>
      </c>
      <c r="E853">
        <v>469.5643824</v>
      </c>
    </row>
    <row r="854" spans="2:5" x14ac:dyDescent="0.3">
      <c r="B854">
        <v>443.73189932082585</v>
      </c>
      <c r="C854">
        <v>464.04441635831535</v>
      </c>
      <c r="D854">
        <v>470.17106410000002</v>
      </c>
      <c r="E854">
        <v>469.5668407</v>
      </c>
    </row>
    <row r="855" spans="2:5" x14ac:dyDescent="0.3">
      <c r="B855">
        <v>462.31652297589073</v>
      </c>
      <c r="C855">
        <v>472.78429068909702</v>
      </c>
      <c r="D855">
        <v>470.07355139999999</v>
      </c>
      <c r="E855">
        <v>469.52396249999998</v>
      </c>
    </row>
    <row r="856" spans="2:5" x14ac:dyDescent="0.3">
      <c r="B856">
        <v>468.52141538245024</v>
      </c>
      <c r="C856">
        <v>463.38803065440601</v>
      </c>
      <c r="D856">
        <v>470.00936100000001</v>
      </c>
      <c r="E856">
        <v>469.59187159999999</v>
      </c>
    </row>
    <row r="857" spans="2:5" x14ac:dyDescent="0.3">
      <c r="B857">
        <v>467.23068727263353</v>
      </c>
      <c r="C857">
        <v>476.83669562194586</v>
      </c>
      <c r="D857">
        <v>470.08919689999999</v>
      </c>
      <c r="E857">
        <v>469.59599309999999</v>
      </c>
    </row>
    <row r="858" spans="2:5" x14ac:dyDescent="0.3">
      <c r="B858">
        <v>460.07546941992751</v>
      </c>
      <c r="C858">
        <v>466.31973952408941</v>
      </c>
      <c r="D858">
        <v>470.11821579999997</v>
      </c>
      <c r="E858">
        <v>469.64910680000003</v>
      </c>
    </row>
    <row r="859" spans="2:5" x14ac:dyDescent="0.3">
      <c r="B859">
        <v>467.97391902972362</v>
      </c>
      <c r="C859">
        <v>465.76843995153024</v>
      </c>
      <c r="D859">
        <v>470.16467449999999</v>
      </c>
      <c r="E859">
        <v>469.66737460000002</v>
      </c>
    </row>
    <row r="860" spans="2:5" x14ac:dyDescent="0.3">
      <c r="B860">
        <v>444.08957745132221</v>
      </c>
      <c r="C860">
        <v>469.6896965431871</v>
      </c>
      <c r="D860">
        <v>470.17527339999998</v>
      </c>
      <c r="E860">
        <v>469.60073410000001</v>
      </c>
    </row>
    <row r="861" spans="2:5" x14ac:dyDescent="0.3">
      <c r="B861">
        <v>471.07595431097195</v>
      </c>
      <c r="C861">
        <v>475.84589993768861</v>
      </c>
      <c r="D861">
        <v>470.25909309999997</v>
      </c>
      <c r="E861">
        <v>469.6411344</v>
      </c>
    </row>
    <row r="862" spans="2:5" x14ac:dyDescent="0.3">
      <c r="B862">
        <v>458.86794516808862</v>
      </c>
      <c r="C862">
        <v>463.4428677444518</v>
      </c>
      <c r="D862">
        <v>470.10505669999998</v>
      </c>
      <c r="E862">
        <v>469.58189140000002</v>
      </c>
    </row>
    <row r="863" spans="2:5" x14ac:dyDescent="0.3">
      <c r="B863">
        <v>453.39455002974148</v>
      </c>
      <c r="C863">
        <v>480.29543809908733</v>
      </c>
      <c r="D863">
        <v>470.18233679999997</v>
      </c>
      <c r="E863">
        <v>469.69269839999998</v>
      </c>
    </row>
    <row r="864" spans="2:5" x14ac:dyDescent="0.3">
      <c r="B864">
        <v>472.0063018755875</v>
      </c>
      <c r="C864">
        <v>461.55384305755092</v>
      </c>
      <c r="D864">
        <v>470.16610429999997</v>
      </c>
      <c r="E864">
        <v>469.64769039999999</v>
      </c>
    </row>
    <row r="865" spans="2:5" x14ac:dyDescent="0.3">
      <c r="B865">
        <v>466.20995596827112</v>
      </c>
      <c r="C865">
        <v>463.53876746132829</v>
      </c>
      <c r="D865">
        <v>470.00880669999998</v>
      </c>
      <c r="E865">
        <v>469.66176469999999</v>
      </c>
    </row>
    <row r="866" spans="2:5" x14ac:dyDescent="0.3">
      <c r="B866">
        <v>458.82364989590377</v>
      </c>
      <c r="C866">
        <v>466.11264366959188</v>
      </c>
      <c r="D866">
        <v>470.17044540000001</v>
      </c>
      <c r="E866">
        <v>469.60334769999997</v>
      </c>
    </row>
    <row r="867" spans="2:5" x14ac:dyDescent="0.3">
      <c r="B867">
        <v>469.32297882748662</v>
      </c>
      <c r="C867">
        <v>466.2717110413505</v>
      </c>
      <c r="D867">
        <v>470.04936370000001</v>
      </c>
      <c r="E867">
        <v>469.59306420000001</v>
      </c>
    </row>
    <row r="868" spans="2:5" x14ac:dyDescent="0.3">
      <c r="B868">
        <v>452.37974165578271</v>
      </c>
      <c r="C868">
        <v>473.16621318735599</v>
      </c>
      <c r="D868">
        <v>470.18908260000001</v>
      </c>
      <c r="E868">
        <v>469.53285069999998</v>
      </c>
    </row>
    <row r="869" spans="2:5" x14ac:dyDescent="0.3">
      <c r="B869">
        <v>465.80260586699262</v>
      </c>
      <c r="C869">
        <v>463.69322992745839</v>
      </c>
      <c r="D869">
        <v>470.11431140000002</v>
      </c>
      <c r="E869">
        <v>469.56141869999999</v>
      </c>
    </row>
    <row r="870" spans="2:5" x14ac:dyDescent="0.3">
      <c r="B870">
        <v>459.61575925317049</v>
      </c>
      <c r="C870">
        <v>465.78785984874366</v>
      </c>
      <c r="D870">
        <v>470.15457070000002</v>
      </c>
      <c r="E870">
        <v>469.66561239999999</v>
      </c>
    </row>
    <row r="871" spans="2:5" x14ac:dyDescent="0.3">
      <c r="B871">
        <v>467.21696544143271</v>
      </c>
      <c r="C871">
        <v>463.42702353423908</v>
      </c>
      <c r="D871">
        <v>470.10544019999998</v>
      </c>
      <c r="E871">
        <v>469.70151329999999</v>
      </c>
    </row>
    <row r="872" spans="2:5" x14ac:dyDescent="0.3">
      <c r="B872">
        <v>454.01337609315681</v>
      </c>
      <c r="C872">
        <v>464.54752149572516</v>
      </c>
      <c r="D872">
        <v>470.21046250000001</v>
      </c>
      <c r="E872">
        <v>469.6847669</v>
      </c>
    </row>
    <row r="873" spans="2:5" x14ac:dyDescent="0.3">
      <c r="B873">
        <v>459.65925516684644</v>
      </c>
      <c r="C873">
        <v>465.64255641636811</v>
      </c>
      <c r="D873">
        <v>470.06377830000002</v>
      </c>
      <c r="E873">
        <v>469.64646670000002</v>
      </c>
    </row>
    <row r="874" spans="2:5" x14ac:dyDescent="0.3">
      <c r="B874">
        <v>464.6774295006652</v>
      </c>
      <c r="C874">
        <v>474.44845601917882</v>
      </c>
      <c r="D874">
        <v>470.17010979999998</v>
      </c>
      <c r="E874">
        <v>469.55229050000003</v>
      </c>
    </row>
    <row r="875" spans="2:5" x14ac:dyDescent="0.3">
      <c r="B875">
        <v>462.80595982146531</v>
      </c>
      <c r="C875">
        <v>467.47742249710853</v>
      </c>
      <c r="D875">
        <v>470.09474599999999</v>
      </c>
      <c r="E875">
        <v>469.59087410000001</v>
      </c>
    </row>
    <row r="876" spans="2:5" x14ac:dyDescent="0.3">
      <c r="B876">
        <v>459.31215145501585</v>
      </c>
      <c r="C876">
        <v>464.90343732203308</v>
      </c>
      <c r="D876">
        <v>470.07065519999998</v>
      </c>
      <c r="E876">
        <v>469.61329610000001</v>
      </c>
    </row>
    <row r="877" spans="2:5" x14ac:dyDescent="0.3">
      <c r="B877">
        <v>457.44299162947954</v>
      </c>
      <c r="C877">
        <v>465.14299356294163</v>
      </c>
      <c r="D877">
        <v>470.0833624</v>
      </c>
      <c r="E877">
        <v>469.6938012</v>
      </c>
    </row>
    <row r="878" spans="2:5" x14ac:dyDescent="0.3">
      <c r="B878">
        <v>457.35751501629733</v>
      </c>
      <c r="C878">
        <v>466.95428272937608</v>
      </c>
      <c r="D878">
        <v>469.88615670000002</v>
      </c>
      <c r="E878">
        <v>469.52750509999998</v>
      </c>
    </row>
    <row r="879" spans="2:5" x14ac:dyDescent="0.3">
      <c r="B879">
        <v>470.48770087244691</v>
      </c>
      <c r="C879">
        <v>465.66705106331358</v>
      </c>
      <c r="D879">
        <v>470.01446600000003</v>
      </c>
      <c r="E879">
        <v>469.54379169999999</v>
      </c>
    </row>
    <row r="880" spans="2:5" x14ac:dyDescent="0.3">
      <c r="B880">
        <v>440.49793911964485</v>
      </c>
      <c r="C880">
        <v>473.54907591067882</v>
      </c>
      <c r="D880">
        <v>470.1659171</v>
      </c>
      <c r="E880">
        <v>469.66574070000001</v>
      </c>
    </row>
    <row r="881" spans="2:5" x14ac:dyDescent="0.3">
      <c r="B881">
        <v>465.18664149253073</v>
      </c>
      <c r="C881">
        <v>472.01494623983734</v>
      </c>
      <c r="D881">
        <v>470.1943675</v>
      </c>
      <c r="E881">
        <v>469.6753228</v>
      </c>
    </row>
    <row r="882" spans="2:5" x14ac:dyDescent="0.3">
      <c r="B882">
        <v>455.24404660838917</v>
      </c>
      <c r="C882">
        <v>474.81802015565586</v>
      </c>
      <c r="D882">
        <v>470.15799270000002</v>
      </c>
      <c r="E882">
        <v>469.6633142</v>
      </c>
    </row>
    <row r="883" spans="2:5" x14ac:dyDescent="0.3">
      <c r="B883">
        <v>469.85970078782191</v>
      </c>
      <c r="C883">
        <v>459.09044782659333</v>
      </c>
      <c r="D883">
        <v>470.30282529999999</v>
      </c>
      <c r="E883">
        <v>469.5640535</v>
      </c>
    </row>
    <row r="884" spans="2:5" x14ac:dyDescent="0.3">
      <c r="B884">
        <v>469.74137996653087</v>
      </c>
      <c r="C884">
        <v>477.12217043623247</v>
      </c>
      <c r="D884">
        <v>470.27035480000001</v>
      </c>
      <c r="E884">
        <v>469.60226920000002</v>
      </c>
    </row>
    <row r="885" spans="2:5" x14ac:dyDescent="0.3">
      <c r="B885">
        <v>479.07534492841035</v>
      </c>
      <c r="C885">
        <v>466.34538614109186</v>
      </c>
      <c r="D885">
        <v>470.1089915</v>
      </c>
      <c r="E885">
        <v>469.61653189999998</v>
      </c>
    </row>
    <row r="886" spans="2:5" x14ac:dyDescent="0.3">
      <c r="B886">
        <v>467.23310660852559</v>
      </c>
      <c r="C886">
        <v>469.72315506429402</v>
      </c>
      <c r="D886">
        <v>470.15189980000002</v>
      </c>
      <c r="E886">
        <v>469.66042820000001</v>
      </c>
    </row>
    <row r="887" spans="2:5" x14ac:dyDescent="0.3">
      <c r="B887">
        <v>460.07396694550295</v>
      </c>
      <c r="C887">
        <v>473.25415182587841</v>
      </c>
      <c r="D887">
        <v>470.17678219999999</v>
      </c>
      <c r="E887">
        <v>469.64961879999998</v>
      </c>
    </row>
    <row r="888" spans="2:5" x14ac:dyDescent="0.3">
      <c r="B888">
        <v>469.7277114588187</v>
      </c>
      <c r="C888">
        <v>465.32751299499427</v>
      </c>
      <c r="D888">
        <v>470.07185120000003</v>
      </c>
      <c r="E888">
        <v>469.68362580000002</v>
      </c>
    </row>
    <row r="889" spans="2:5" x14ac:dyDescent="0.3">
      <c r="B889">
        <v>468.85678704872134</v>
      </c>
      <c r="C889">
        <v>472.41974850792212</v>
      </c>
      <c r="D889">
        <v>470.16095130000002</v>
      </c>
      <c r="E889">
        <v>469.554844</v>
      </c>
    </row>
    <row r="890" spans="2:5" x14ac:dyDescent="0.3">
      <c r="B890">
        <v>469.63773814622374</v>
      </c>
      <c r="C890">
        <v>468.69834198400844</v>
      </c>
      <c r="D890">
        <v>470.14020299999999</v>
      </c>
      <c r="E890">
        <v>469.62245460000003</v>
      </c>
    </row>
    <row r="891" spans="2:5" x14ac:dyDescent="0.3">
      <c r="B891">
        <v>475.73050554705998</v>
      </c>
      <c r="C891">
        <v>464.14214999731644</v>
      </c>
      <c r="D891">
        <v>470.2474307</v>
      </c>
      <c r="E891">
        <v>469.6236475</v>
      </c>
    </row>
    <row r="892" spans="2:5" x14ac:dyDescent="0.3">
      <c r="B892">
        <v>465.9666133549232</v>
      </c>
      <c r="C892">
        <v>463.16129257802987</v>
      </c>
      <c r="D892">
        <v>470.16202650000002</v>
      </c>
      <c r="E892">
        <v>469.68453620000003</v>
      </c>
    </row>
    <row r="893" spans="2:5" x14ac:dyDescent="0.3">
      <c r="B893">
        <v>447.85465347404835</v>
      </c>
      <c r="C893">
        <v>466.43659205199793</v>
      </c>
      <c r="D893">
        <v>470.03403470000001</v>
      </c>
      <c r="E893">
        <v>469.54885619999999</v>
      </c>
    </row>
    <row r="894" spans="2:5" x14ac:dyDescent="0.3">
      <c r="B894">
        <v>464.08434211299436</v>
      </c>
      <c r="C894">
        <v>473.91929568332739</v>
      </c>
      <c r="D894">
        <v>470.05313539999997</v>
      </c>
      <c r="E894">
        <v>469.64222899999999</v>
      </c>
    </row>
    <row r="895" spans="2:5" x14ac:dyDescent="0.3">
      <c r="B895">
        <v>462.95531678815411</v>
      </c>
      <c r="C895">
        <v>464.95187841775783</v>
      </c>
      <c r="D895">
        <v>470.20452060000002</v>
      </c>
      <c r="E895">
        <v>469.60209309999999</v>
      </c>
    </row>
    <row r="896" spans="2:5" x14ac:dyDescent="0.3">
      <c r="B896">
        <v>450.52439914304784</v>
      </c>
      <c r="C896">
        <v>468.99697753003471</v>
      </c>
      <c r="D896">
        <v>470.11860230000002</v>
      </c>
      <c r="E896">
        <v>469.63794589999998</v>
      </c>
    </row>
    <row r="897" spans="2:5" x14ac:dyDescent="0.3">
      <c r="B897">
        <v>477.11046667725213</v>
      </c>
      <c r="C897">
        <v>476.07183655474682</v>
      </c>
      <c r="D897">
        <v>470.18452580000002</v>
      </c>
      <c r="E897">
        <v>469.57947469999999</v>
      </c>
    </row>
    <row r="898" spans="2:5" x14ac:dyDescent="0.3">
      <c r="B898">
        <v>467.73647804857995</v>
      </c>
      <c r="C898">
        <v>454.70003441803823</v>
      </c>
      <c r="D898">
        <v>470.09473179999998</v>
      </c>
      <c r="E898">
        <v>469.59150199999999</v>
      </c>
    </row>
    <row r="899" spans="2:5" x14ac:dyDescent="0.3">
      <c r="B899">
        <v>464.55842750660378</v>
      </c>
      <c r="C899">
        <v>471.99364921671537</v>
      </c>
      <c r="D899">
        <v>470.03143399999999</v>
      </c>
      <c r="E899">
        <v>469.49382029999998</v>
      </c>
    </row>
    <row r="900" spans="2:5" x14ac:dyDescent="0.3">
      <c r="B900">
        <v>459.72537552141591</v>
      </c>
      <c r="C900">
        <v>469.8535046147839</v>
      </c>
      <c r="D900">
        <v>470.09664880000003</v>
      </c>
      <c r="E900">
        <v>469.63857159999998</v>
      </c>
    </row>
    <row r="901" spans="2:5" x14ac:dyDescent="0.3">
      <c r="B901">
        <v>466.85072622118236</v>
      </c>
      <c r="C901">
        <v>471.05457672028632</v>
      </c>
      <c r="D901">
        <v>470.21329659999998</v>
      </c>
      <c r="E901">
        <v>469.67312079999999</v>
      </c>
    </row>
    <row r="902" spans="2:5" x14ac:dyDescent="0.3">
      <c r="B902">
        <v>481.9413920845779</v>
      </c>
      <c r="C902">
        <v>465.18056515760821</v>
      </c>
      <c r="D902">
        <v>470.32556299999999</v>
      </c>
      <c r="E902">
        <v>469.62173799999999</v>
      </c>
    </row>
    <row r="903" spans="2:5" x14ac:dyDescent="0.3">
      <c r="B903">
        <v>445.9387415841361</v>
      </c>
      <c r="C903">
        <v>472.17484092919557</v>
      </c>
      <c r="D903">
        <v>470.18992939999998</v>
      </c>
      <c r="E903">
        <v>469.56995669999998</v>
      </c>
    </row>
    <row r="904" spans="2:5" x14ac:dyDescent="0.3">
      <c r="B904">
        <v>471.28071297582773</v>
      </c>
      <c r="C904">
        <v>461.2823338836107</v>
      </c>
      <c r="D904">
        <v>470.08503339999999</v>
      </c>
      <c r="E904">
        <v>469.6526983</v>
      </c>
    </row>
    <row r="905" spans="2:5" x14ac:dyDescent="0.3">
      <c r="B905">
        <v>452.3740713788045</v>
      </c>
      <c r="C905">
        <v>472.41523067429756</v>
      </c>
      <c r="D905">
        <v>470.23096759999999</v>
      </c>
      <c r="E905">
        <v>469.66781980000002</v>
      </c>
    </row>
    <row r="906" spans="2:5" x14ac:dyDescent="0.3">
      <c r="B906">
        <v>466.77681308041645</v>
      </c>
      <c r="C906">
        <v>467.0014587698688</v>
      </c>
      <c r="D906">
        <v>470.20465560000002</v>
      </c>
      <c r="E906">
        <v>469.64592829999998</v>
      </c>
    </row>
    <row r="907" spans="2:5" x14ac:dyDescent="0.3">
      <c r="B907">
        <v>477.11018059543318</v>
      </c>
      <c r="C907">
        <v>475.03125109866193</v>
      </c>
      <c r="D907">
        <v>470.0090783</v>
      </c>
      <c r="E907">
        <v>469.6646988</v>
      </c>
    </row>
    <row r="908" spans="2:5" x14ac:dyDescent="0.3">
      <c r="B908">
        <v>478.60214568646103</v>
      </c>
      <c r="C908">
        <v>465.25776560156328</v>
      </c>
      <c r="D908">
        <v>470.26159999999999</v>
      </c>
      <c r="E908">
        <v>469.69277510000001</v>
      </c>
    </row>
    <row r="909" spans="2:5" x14ac:dyDescent="0.3">
      <c r="B909">
        <v>468.22841382121584</v>
      </c>
      <c r="C909">
        <v>467.26037134261372</v>
      </c>
      <c r="D909">
        <v>470.28511040000001</v>
      </c>
      <c r="E909">
        <v>469.59891279999999</v>
      </c>
    </row>
    <row r="910" spans="2:5" x14ac:dyDescent="0.3">
      <c r="B910">
        <v>471.84561358675813</v>
      </c>
      <c r="C910">
        <v>477.1861960645341</v>
      </c>
      <c r="D910">
        <v>470.23639650000001</v>
      </c>
      <c r="E910">
        <v>469.76889010000002</v>
      </c>
    </row>
    <row r="911" spans="2:5" x14ac:dyDescent="0.3">
      <c r="B911">
        <v>458.86748123725522</v>
      </c>
      <c r="C911">
        <v>470.52154016407451</v>
      </c>
      <c r="D911">
        <v>470.02182959999999</v>
      </c>
      <c r="E911">
        <v>469.69069919999998</v>
      </c>
    </row>
    <row r="912" spans="2:5" x14ac:dyDescent="0.3">
      <c r="B912">
        <v>468.11643150580073</v>
      </c>
      <c r="C912">
        <v>466.15050585854016</v>
      </c>
      <c r="D912">
        <v>470.18156370000003</v>
      </c>
      <c r="E912">
        <v>469.59156860000002</v>
      </c>
    </row>
    <row r="913" spans="2:5" x14ac:dyDescent="0.3">
      <c r="B913">
        <v>461.14580024332673</v>
      </c>
      <c r="C913">
        <v>476.1751290926681</v>
      </c>
      <c r="D913">
        <v>470.14416510000001</v>
      </c>
      <c r="E913">
        <v>469.60019299999999</v>
      </c>
    </row>
    <row r="914" spans="2:5" x14ac:dyDescent="0.3">
      <c r="B914">
        <v>452.69121758381198</v>
      </c>
      <c r="C914">
        <v>457.45975475447858</v>
      </c>
      <c r="D914">
        <v>470.15054120000002</v>
      </c>
      <c r="E914">
        <v>469.60369320000001</v>
      </c>
    </row>
    <row r="915" spans="2:5" x14ac:dyDescent="0.3">
      <c r="B915">
        <v>471.89652770799955</v>
      </c>
      <c r="C915">
        <v>468.13522470801126</v>
      </c>
      <c r="D915">
        <v>470.14361400000001</v>
      </c>
      <c r="E915">
        <v>469.67055859999999</v>
      </c>
    </row>
    <row r="916" spans="2:5" x14ac:dyDescent="0.3">
      <c r="B916">
        <v>463.23520613004689</v>
      </c>
      <c r="C916">
        <v>473.80871802238835</v>
      </c>
      <c r="D916">
        <v>470.18877830000002</v>
      </c>
      <c r="E916">
        <v>469.6266425</v>
      </c>
    </row>
    <row r="917" spans="2:5" x14ac:dyDescent="0.3">
      <c r="B917">
        <v>476.57774398384862</v>
      </c>
      <c r="C917">
        <v>459.35214713590096</v>
      </c>
      <c r="D917">
        <v>470.13915950000001</v>
      </c>
      <c r="E917">
        <v>469.64181250000001</v>
      </c>
    </row>
    <row r="918" spans="2:5" x14ac:dyDescent="0.3">
      <c r="B918">
        <v>467.06367466312571</v>
      </c>
      <c r="C918">
        <v>464.21336165381035</v>
      </c>
      <c r="D918">
        <v>470.15619559999999</v>
      </c>
      <c r="E918">
        <v>469.60296039999997</v>
      </c>
    </row>
    <row r="919" spans="2:5" x14ac:dyDescent="0.3">
      <c r="B919">
        <v>459.00273947964183</v>
      </c>
      <c r="C919">
        <v>466.91567295308738</v>
      </c>
      <c r="D919">
        <v>470.1269939</v>
      </c>
      <c r="E919">
        <v>469.5845357</v>
      </c>
    </row>
    <row r="920" spans="2:5" x14ac:dyDescent="0.3">
      <c r="B920">
        <v>467.08072043253492</v>
      </c>
      <c r="C920">
        <v>469.95197076615227</v>
      </c>
      <c r="D920">
        <v>469.9966541</v>
      </c>
      <c r="E920">
        <v>469.60258770000002</v>
      </c>
    </row>
    <row r="921" spans="2:5" x14ac:dyDescent="0.3">
      <c r="B921">
        <v>477.79233134643761</v>
      </c>
      <c r="C921">
        <v>471.93468255073543</v>
      </c>
      <c r="D921">
        <v>470.12006150000002</v>
      </c>
      <c r="E921">
        <v>469.63943540000002</v>
      </c>
    </row>
    <row r="922" spans="2:5" x14ac:dyDescent="0.3">
      <c r="B922">
        <v>473.93424475386553</v>
      </c>
      <c r="C922">
        <v>475.01625254609485</v>
      </c>
      <c r="D922">
        <v>470.09860609999998</v>
      </c>
      <c r="E922">
        <v>469.58124229999999</v>
      </c>
    </row>
    <row r="923" spans="2:5" x14ac:dyDescent="0.3">
      <c r="B923">
        <v>461.5378184677428</v>
      </c>
      <c r="C923">
        <v>465.43340955059165</v>
      </c>
      <c r="D923">
        <v>470.21642509999998</v>
      </c>
      <c r="E923">
        <v>469.57879789999998</v>
      </c>
    </row>
    <row r="924" spans="2:5" x14ac:dyDescent="0.3">
      <c r="B924">
        <v>458.67404169197926</v>
      </c>
      <c r="C924">
        <v>476.0450863833974</v>
      </c>
      <c r="D924">
        <v>470.23076429999998</v>
      </c>
      <c r="E924">
        <v>469.6475926</v>
      </c>
    </row>
    <row r="925" spans="2:5" x14ac:dyDescent="0.3">
      <c r="B925">
        <v>482.34846316512034</v>
      </c>
      <c r="C925">
        <v>475.40901042098159</v>
      </c>
      <c r="D925">
        <v>470.18299439999998</v>
      </c>
      <c r="E925">
        <v>469.69111559999999</v>
      </c>
    </row>
    <row r="926" spans="2:5" x14ac:dyDescent="0.3">
      <c r="B926">
        <v>468.80806710296179</v>
      </c>
      <c r="C926">
        <v>468.87979800726271</v>
      </c>
      <c r="D926">
        <v>470.20391330000001</v>
      </c>
      <c r="E926">
        <v>469.68114109999999</v>
      </c>
    </row>
    <row r="927" spans="2:5" x14ac:dyDescent="0.3">
      <c r="B927">
        <v>479.10989109377306</v>
      </c>
      <c r="C927">
        <v>464.6735966819744</v>
      </c>
      <c r="D927">
        <v>470.11759009999997</v>
      </c>
      <c r="E927">
        <v>469.67127900000003</v>
      </c>
    </row>
    <row r="928" spans="2:5" x14ac:dyDescent="0.3">
      <c r="B928">
        <v>479.8936786753236</v>
      </c>
      <c r="C928">
        <v>470.52826435107477</v>
      </c>
      <c r="D928">
        <v>470.12930360000001</v>
      </c>
      <c r="E928">
        <v>469.5968426</v>
      </c>
    </row>
    <row r="929" spans="2:5" x14ac:dyDescent="0.3">
      <c r="B929">
        <v>471.60511709909127</v>
      </c>
      <c r="C929">
        <v>470.06557784483215</v>
      </c>
      <c r="D929">
        <v>470.05217149999999</v>
      </c>
      <c r="E929">
        <v>469.68241619999998</v>
      </c>
    </row>
    <row r="930" spans="2:5" x14ac:dyDescent="0.3">
      <c r="B930">
        <v>468.8426597253096</v>
      </c>
      <c r="C930">
        <v>465.9192894367161</v>
      </c>
      <c r="D930">
        <v>470.14216720000002</v>
      </c>
      <c r="E930">
        <v>469.63381190000001</v>
      </c>
    </row>
    <row r="931" spans="2:5" x14ac:dyDescent="0.3">
      <c r="B931">
        <v>468.34484245770818</v>
      </c>
      <c r="C931">
        <v>472.92455496124364</v>
      </c>
      <c r="D931">
        <v>470.17652020000003</v>
      </c>
      <c r="E931">
        <v>469.67651530000001</v>
      </c>
    </row>
    <row r="932" spans="2:5" x14ac:dyDescent="0.3">
      <c r="B932">
        <v>471.65568017615999</v>
      </c>
      <c r="C932">
        <v>467.60008112864955</v>
      </c>
      <c r="D932">
        <v>470.2066256</v>
      </c>
      <c r="E932">
        <v>469.71103599999998</v>
      </c>
    </row>
    <row r="933" spans="2:5" x14ac:dyDescent="0.3">
      <c r="B933">
        <v>470.36329791587156</v>
      </c>
      <c r="C933">
        <v>470.91612254905783</v>
      </c>
      <c r="D933">
        <v>470.1840239</v>
      </c>
      <c r="E933">
        <v>469.66205129999997</v>
      </c>
    </row>
    <row r="934" spans="2:5" x14ac:dyDescent="0.3">
      <c r="B934">
        <v>464.1483581332742</v>
      </c>
      <c r="C934">
        <v>460.20426523008388</v>
      </c>
      <c r="D934">
        <v>470.14557000000002</v>
      </c>
      <c r="E934">
        <v>469.50899800000002</v>
      </c>
    </row>
    <row r="935" spans="2:5" x14ac:dyDescent="0.3">
      <c r="B935">
        <v>452.80540757443561</v>
      </c>
      <c r="C935">
        <v>462.73594696082733</v>
      </c>
      <c r="D935">
        <v>470.04676749999999</v>
      </c>
      <c r="E935">
        <v>469.69780559999998</v>
      </c>
    </row>
    <row r="936" spans="2:5" x14ac:dyDescent="0.3">
      <c r="B936">
        <v>467.39201798819107</v>
      </c>
      <c r="C936">
        <v>469.68712578826671</v>
      </c>
      <c r="D936">
        <v>470.19408449999997</v>
      </c>
      <c r="E936">
        <v>469.51917909999997</v>
      </c>
    </row>
    <row r="937" spans="2:5" x14ac:dyDescent="0.3">
      <c r="B937">
        <v>466.36675755053801</v>
      </c>
      <c r="C937">
        <v>468.44534668200663</v>
      </c>
      <c r="D937">
        <v>469.98380400000002</v>
      </c>
      <c r="E937">
        <v>469.59319369999997</v>
      </c>
    </row>
    <row r="938" spans="2:5" x14ac:dyDescent="0.3">
      <c r="B938">
        <v>475.26953670386729</v>
      </c>
      <c r="C938">
        <v>461.15450054762169</v>
      </c>
      <c r="D938">
        <v>470.14643119999999</v>
      </c>
      <c r="E938">
        <v>469.72718500000002</v>
      </c>
    </row>
    <row r="939" spans="2:5" x14ac:dyDescent="0.3">
      <c r="B939">
        <v>471.0762926153435</v>
      </c>
      <c r="C939">
        <v>470.98744129207142</v>
      </c>
      <c r="D939">
        <v>470.33370609999997</v>
      </c>
      <c r="E939">
        <v>469.6391959</v>
      </c>
    </row>
    <row r="940" spans="2:5" x14ac:dyDescent="0.3">
      <c r="B940">
        <v>461.57045016363924</v>
      </c>
      <c r="C940">
        <v>469.32635953755641</v>
      </c>
      <c r="D940">
        <v>470.18433090000002</v>
      </c>
      <c r="E940">
        <v>469.55937569999998</v>
      </c>
    </row>
    <row r="941" spans="2:5" x14ac:dyDescent="0.3">
      <c r="B941">
        <v>466.22275433328343</v>
      </c>
      <c r="C941">
        <v>473.58897772399894</v>
      </c>
      <c r="D941">
        <v>470.18680339999997</v>
      </c>
      <c r="E941">
        <v>469.56786920000002</v>
      </c>
    </row>
    <row r="942" spans="2:5" x14ac:dyDescent="0.3">
      <c r="B942">
        <v>472.40662685321297</v>
      </c>
      <c r="C942">
        <v>470.76333632586204</v>
      </c>
      <c r="D942">
        <v>470.11595149999999</v>
      </c>
      <c r="E942">
        <v>469.68879659999999</v>
      </c>
    </row>
    <row r="943" spans="2:5" x14ac:dyDescent="0.3">
      <c r="B943">
        <v>466.95794546280251</v>
      </c>
      <c r="C943">
        <v>477.38545202571316</v>
      </c>
      <c r="D943">
        <v>470.13299799999999</v>
      </c>
      <c r="E943">
        <v>469.55169360000002</v>
      </c>
    </row>
    <row r="944" spans="2:5" x14ac:dyDescent="0.3">
      <c r="B944">
        <v>465.61484082250854</v>
      </c>
      <c r="C944">
        <v>468.55768432364482</v>
      </c>
      <c r="D944">
        <v>470.20623410000002</v>
      </c>
      <c r="E944">
        <v>469.65818560000002</v>
      </c>
    </row>
    <row r="945" spans="2:5" x14ac:dyDescent="0.3">
      <c r="B945">
        <v>472.5113362498771</v>
      </c>
      <c r="C945">
        <v>468.89558601160337</v>
      </c>
      <c r="D945">
        <v>470.19309320000002</v>
      </c>
      <c r="E945">
        <v>469.64167700000002</v>
      </c>
    </row>
    <row r="946" spans="2:5" x14ac:dyDescent="0.3">
      <c r="B946">
        <v>481.67429476452929</v>
      </c>
      <c r="C946">
        <v>471.353210940005</v>
      </c>
      <c r="D946">
        <v>470.13161059999999</v>
      </c>
      <c r="E946">
        <v>469.63673899999998</v>
      </c>
    </row>
    <row r="947" spans="2:5" x14ac:dyDescent="0.3">
      <c r="B947">
        <v>472.53870801577091</v>
      </c>
      <c r="C947">
        <v>477.76969704843566</v>
      </c>
      <c r="D947">
        <v>470.12977669999998</v>
      </c>
      <c r="E947">
        <v>469.66405250000003</v>
      </c>
    </row>
    <row r="948" spans="2:5" x14ac:dyDescent="0.3">
      <c r="B948">
        <v>471.18610212780135</v>
      </c>
      <c r="C948">
        <v>466.31899222112611</v>
      </c>
      <c r="D948">
        <v>470.19862649999999</v>
      </c>
      <c r="E948">
        <v>469.71327830000001</v>
      </c>
    </row>
    <row r="949" spans="2:5" x14ac:dyDescent="0.3">
      <c r="B949">
        <v>476.77985803584289</v>
      </c>
      <c r="C949">
        <v>466.21027792623789</v>
      </c>
      <c r="D949">
        <v>470.1886978</v>
      </c>
      <c r="E949">
        <v>469.67612509999998</v>
      </c>
    </row>
    <row r="950" spans="2:5" x14ac:dyDescent="0.3">
      <c r="B950">
        <v>468.80824133260415</v>
      </c>
      <c r="C950">
        <v>457.55762826618263</v>
      </c>
      <c r="D950">
        <v>470.26655019999998</v>
      </c>
      <c r="E950">
        <v>469.68801910000002</v>
      </c>
    </row>
    <row r="951" spans="2:5" x14ac:dyDescent="0.3">
      <c r="B951">
        <v>453.926359454742</v>
      </c>
      <c r="C951">
        <v>474.69625817788494</v>
      </c>
      <c r="D951">
        <v>470.12688250000002</v>
      </c>
      <c r="E951">
        <v>469.71834630000001</v>
      </c>
    </row>
    <row r="952" spans="2:5" x14ac:dyDescent="0.3">
      <c r="B952">
        <v>466.29646453954587</v>
      </c>
      <c r="C952">
        <v>468.19694419566321</v>
      </c>
      <c r="D952">
        <v>470.16404890000001</v>
      </c>
      <c r="E952">
        <v>469.6696091</v>
      </c>
    </row>
    <row r="953" spans="2:5" x14ac:dyDescent="0.3">
      <c r="B953">
        <v>474.80341975590727</v>
      </c>
      <c r="C953">
        <v>462.57119142530098</v>
      </c>
      <c r="D953">
        <v>470.11493990000002</v>
      </c>
      <c r="E953">
        <v>469.75302149999999</v>
      </c>
    </row>
    <row r="954" spans="2:5" x14ac:dyDescent="0.3">
      <c r="B954">
        <v>470.08906324200444</v>
      </c>
      <c r="C954">
        <v>465.12278189518133</v>
      </c>
      <c r="D954">
        <v>470.18088820000003</v>
      </c>
      <c r="E954">
        <v>469.6704843</v>
      </c>
    </row>
    <row r="955" spans="2:5" x14ac:dyDescent="0.3">
      <c r="B955">
        <v>472.60057227922147</v>
      </c>
      <c r="C955">
        <v>464.67561773099692</v>
      </c>
      <c r="D955">
        <v>470.1027699</v>
      </c>
      <c r="E955">
        <v>469.61112539999999</v>
      </c>
    </row>
    <row r="956" spans="2:5" x14ac:dyDescent="0.3">
      <c r="B956">
        <v>468.45918465910916</v>
      </c>
      <c r="C956">
        <v>471.42381003081243</v>
      </c>
      <c r="D956">
        <v>470.3040757</v>
      </c>
      <c r="E956">
        <v>469.64082560000003</v>
      </c>
    </row>
    <row r="957" spans="2:5" x14ac:dyDescent="0.3">
      <c r="B957">
        <v>471.33368923497721</v>
      </c>
      <c r="C957">
        <v>468.33027911810979</v>
      </c>
      <c r="D957">
        <v>470.2076414</v>
      </c>
      <c r="E957">
        <v>469.6054211</v>
      </c>
    </row>
    <row r="958" spans="2:5" x14ac:dyDescent="0.3">
      <c r="B958">
        <v>464.38571993078438</v>
      </c>
      <c r="C958">
        <v>464.72996565694979</v>
      </c>
      <c r="D958">
        <v>470.15655500000003</v>
      </c>
      <c r="E958">
        <v>469.64335349999999</v>
      </c>
    </row>
    <row r="959" spans="2:5" x14ac:dyDescent="0.3">
      <c r="B959">
        <v>459.93740165792991</v>
      </c>
      <c r="C959">
        <v>471.31542884930815</v>
      </c>
      <c r="D959">
        <v>470.04483699999997</v>
      </c>
      <c r="E959">
        <v>469.70234950000003</v>
      </c>
    </row>
    <row r="960" spans="2:5" x14ac:dyDescent="0.3">
      <c r="B960">
        <v>476.00499223229389</v>
      </c>
      <c r="C960">
        <v>467.1328405338117</v>
      </c>
      <c r="D960">
        <v>470.35044929999998</v>
      </c>
      <c r="E960">
        <v>469.67278670000002</v>
      </c>
    </row>
    <row r="961" spans="2:5" x14ac:dyDescent="0.3">
      <c r="B961">
        <v>456.43081655903433</v>
      </c>
      <c r="C961">
        <v>475.88082054883176</v>
      </c>
      <c r="D961">
        <v>470.08215180000002</v>
      </c>
      <c r="E961">
        <v>469.67838260000002</v>
      </c>
    </row>
    <row r="962" spans="2:5" x14ac:dyDescent="0.3">
      <c r="B962">
        <v>473.36517712029314</v>
      </c>
      <c r="C962">
        <v>473.36763586277732</v>
      </c>
      <c r="D962">
        <v>470.28184329999999</v>
      </c>
      <c r="E962">
        <v>469.62349260000002</v>
      </c>
    </row>
    <row r="963" spans="2:5" x14ac:dyDescent="0.3">
      <c r="B963">
        <v>472.38632087252239</v>
      </c>
      <c r="C963">
        <v>466.99703246047068</v>
      </c>
      <c r="D963">
        <v>470.21281090000002</v>
      </c>
      <c r="E963">
        <v>469.69813520000002</v>
      </c>
    </row>
    <row r="964" spans="2:5" x14ac:dyDescent="0.3">
      <c r="B964">
        <v>454.62393780403175</v>
      </c>
      <c r="C964">
        <v>473.51751092149311</v>
      </c>
      <c r="D964">
        <v>470.12397779999998</v>
      </c>
      <c r="E964">
        <v>469.63554319999997</v>
      </c>
    </row>
    <row r="965" spans="2:5" x14ac:dyDescent="0.3">
      <c r="B965">
        <v>465.7303701592968</v>
      </c>
      <c r="C965">
        <v>478.14612586048656</v>
      </c>
      <c r="D965">
        <v>470.11731500000002</v>
      </c>
      <c r="E965">
        <v>469.78261670000001</v>
      </c>
    </row>
    <row r="966" spans="2:5" x14ac:dyDescent="0.3">
      <c r="B966">
        <v>468.09454502455878</v>
      </c>
      <c r="C966">
        <v>463.04194996994954</v>
      </c>
      <c r="D966">
        <v>470.28228730000001</v>
      </c>
      <c r="E966">
        <v>469.75508669999999</v>
      </c>
    </row>
    <row r="967" spans="2:5" x14ac:dyDescent="0.3">
      <c r="B967">
        <v>463.6932222376962</v>
      </c>
      <c r="C967">
        <v>459.60838928964887</v>
      </c>
      <c r="D967">
        <v>470.1169898</v>
      </c>
      <c r="E967">
        <v>469.61353400000002</v>
      </c>
    </row>
    <row r="968" spans="2:5" x14ac:dyDescent="0.3">
      <c r="B968">
        <v>464.98340603112808</v>
      </c>
      <c r="C968">
        <v>463.60567899395346</v>
      </c>
      <c r="D968">
        <v>470.2057719</v>
      </c>
      <c r="E968">
        <v>469.64807489999998</v>
      </c>
    </row>
    <row r="969" spans="2:5" x14ac:dyDescent="0.3">
      <c r="B969">
        <v>455.84170192518741</v>
      </c>
      <c r="C969">
        <v>458.73935625909587</v>
      </c>
      <c r="D969">
        <v>470.18331929999999</v>
      </c>
      <c r="E969">
        <v>469.65729219999997</v>
      </c>
    </row>
    <row r="970" spans="2:5" x14ac:dyDescent="0.3">
      <c r="B970">
        <v>460.31000205870851</v>
      </c>
      <c r="C970">
        <v>471.12631864737409</v>
      </c>
      <c r="D970">
        <v>470.13792380000001</v>
      </c>
      <c r="E970">
        <v>469.57347959999998</v>
      </c>
    </row>
    <row r="971" spans="2:5" x14ac:dyDescent="0.3">
      <c r="B971">
        <v>456.73181054261028</v>
      </c>
      <c r="C971">
        <v>466.91279496463585</v>
      </c>
      <c r="D971">
        <v>470.30514299999999</v>
      </c>
      <c r="E971">
        <v>469.55757929999999</v>
      </c>
    </row>
    <row r="972" spans="2:5" x14ac:dyDescent="0.3">
      <c r="B972">
        <v>464.82644261195605</v>
      </c>
      <c r="C972">
        <v>466.03405748319454</v>
      </c>
      <c r="D972">
        <v>470.08316400000001</v>
      </c>
      <c r="E972">
        <v>469.56482990000001</v>
      </c>
    </row>
    <row r="973" spans="2:5" x14ac:dyDescent="0.3">
      <c r="B973">
        <v>468.63089445131834</v>
      </c>
      <c r="C973">
        <v>472.97241361331692</v>
      </c>
      <c r="D973">
        <v>470.14664490000001</v>
      </c>
      <c r="E973">
        <v>469.66576989999999</v>
      </c>
    </row>
    <row r="974" spans="2:5" x14ac:dyDescent="0.3">
      <c r="B974">
        <v>462.0047703791729</v>
      </c>
      <c r="C974">
        <v>465.97014635927616</v>
      </c>
      <c r="D974">
        <v>470.00933789999999</v>
      </c>
      <c r="E974">
        <v>469.66434179999999</v>
      </c>
    </row>
    <row r="975" spans="2:5" x14ac:dyDescent="0.3">
      <c r="B975">
        <v>460.2936106078003</v>
      </c>
      <c r="C975">
        <v>469.75566794917313</v>
      </c>
      <c r="D975">
        <v>470.22340430000003</v>
      </c>
      <c r="E975">
        <v>469.59406539999998</v>
      </c>
    </row>
    <row r="976" spans="2:5" x14ac:dyDescent="0.3">
      <c r="B976">
        <v>465.47077322278125</v>
      </c>
      <c r="C976">
        <v>474.42504567218208</v>
      </c>
      <c r="D976">
        <v>470.23459580000002</v>
      </c>
      <c r="E976">
        <v>469.60354530000001</v>
      </c>
    </row>
    <row r="977" spans="2:5" x14ac:dyDescent="0.3">
      <c r="B977">
        <v>472.66385987266278</v>
      </c>
      <c r="C977">
        <v>471.93428305648303</v>
      </c>
      <c r="D977">
        <v>470.17889070000001</v>
      </c>
      <c r="E977">
        <v>469.62924429999998</v>
      </c>
    </row>
    <row r="978" spans="2:5" x14ac:dyDescent="0.3">
      <c r="B978">
        <v>461.55214286325821</v>
      </c>
      <c r="C978">
        <v>474.72502829854125</v>
      </c>
      <c r="D978">
        <v>470.09293730000002</v>
      </c>
      <c r="E978">
        <v>469.64069380000001</v>
      </c>
    </row>
    <row r="979" spans="2:5" x14ac:dyDescent="0.3">
      <c r="B979">
        <v>448.46894737274818</v>
      </c>
      <c r="C979">
        <v>473.52447148607592</v>
      </c>
      <c r="D979">
        <v>470.27016659999998</v>
      </c>
      <c r="E979">
        <v>469.60724110000001</v>
      </c>
    </row>
    <row r="980" spans="2:5" x14ac:dyDescent="0.3">
      <c r="B980">
        <v>473.05543267387117</v>
      </c>
      <c r="C980">
        <v>464.49265486233156</v>
      </c>
      <c r="D980">
        <v>469.9684838</v>
      </c>
      <c r="E980">
        <v>469.66648850000001</v>
      </c>
    </row>
    <row r="981" spans="2:5" x14ac:dyDescent="0.3">
      <c r="B981">
        <v>462.86264701119552</v>
      </c>
      <c r="C981">
        <v>466.86364404996056</v>
      </c>
      <c r="D981">
        <v>470.14406029999998</v>
      </c>
      <c r="E981">
        <v>469.69635399999999</v>
      </c>
    </row>
    <row r="982" spans="2:5" x14ac:dyDescent="0.3">
      <c r="B982">
        <v>480.23960179397847</v>
      </c>
      <c r="C982">
        <v>465.63365840522988</v>
      </c>
      <c r="D982">
        <v>470.01117870000002</v>
      </c>
      <c r="E982">
        <v>469.65205680000003</v>
      </c>
    </row>
    <row r="983" spans="2:5" x14ac:dyDescent="0.3">
      <c r="B983">
        <v>472.1356815816215</v>
      </c>
      <c r="C983">
        <v>464.84364002537143</v>
      </c>
      <c r="D983">
        <v>470.14435659999998</v>
      </c>
      <c r="E983">
        <v>469.6288194</v>
      </c>
    </row>
    <row r="984" spans="2:5" x14ac:dyDescent="0.3">
      <c r="B984">
        <v>487.57061698384734</v>
      </c>
      <c r="C984">
        <v>462.8933605615955</v>
      </c>
      <c r="D984">
        <v>470.15922239999998</v>
      </c>
      <c r="E984">
        <v>469.6338677</v>
      </c>
    </row>
    <row r="985" spans="2:5" x14ac:dyDescent="0.3">
      <c r="B985">
        <v>469.60964555935539</v>
      </c>
      <c r="C985">
        <v>466.30566373505388</v>
      </c>
      <c r="D985">
        <v>470.10301570000001</v>
      </c>
      <c r="E985">
        <v>469.67264180000001</v>
      </c>
    </row>
    <row r="986" spans="2:5" x14ac:dyDescent="0.3">
      <c r="B986">
        <v>463.97904376863573</v>
      </c>
      <c r="C986">
        <v>462.57286656618868</v>
      </c>
      <c r="D986">
        <v>470.1164473</v>
      </c>
      <c r="E986">
        <v>469.63589330000002</v>
      </c>
    </row>
    <row r="987" spans="2:5" x14ac:dyDescent="0.3">
      <c r="B987">
        <v>473.24809658596723</v>
      </c>
      <c r="C987">
        <v>475.9894990788917</v>
      </c>
      <c r="D987">
        <v>470.16010310000001</v>
      </c>
      <c r="E987">
        <v>469.62272630000001</v>
      </c>
    </row>
    <row r="988" spans="2:5" x14ac:dyDescent="0.3">
      <c r="B988">
        <v>454.46074791765045</v>
      </c>
      <c r="C988">
        <v>465.61832781407412</v>
      </c>
      <c r="D988">
        <v>470.17365910000001</v>
      </c>
      <c r="E988">
        <v>469.73041230000001</v>
      </c>
    </row>
    <row r="989" spans="2:5" x14ac:dyDescent="0.3">
      <c r="B989">
        <v>479.11340980274622</v>
      </c>
      <c r="C989">
        <v>479.05061854485695</v>
      </c>
      <c r="D989">
        <v>469.99580220000001</v>
      </c>
      <c r="E989">
        <v>469.64623519999998</v>
      </c>
    </row>
    <row r="990" spans="2:5" x14ac:dyDescent="0.3">
      <c r="B990">
        <v>475.50820676627131</v>
      </c>
      <c r="C990">
        <v>470.99456493180298</v>
      </c>
      <c r="D990">
        <v>470.1358055</v>
      </c>
      <c r="E990">
        <v>469.70755409999998</v>
      </c>
    </row>
    <row r="991" spans="2:5" x14ac:dyDescent="0.3">
      <c r="B991">
        <v>456.74804436397784</v>
      </c>
      <c r="C991">
        <v>464.0652280790863</v>
      </c>
      <c r="D991">
        <v>470.24082800000002</v>
      </c>
      <c r="E991">
        <v>469.63469880000002</v>
      </c>
    </row>
    <row r="992" spans="2:5" x14ac:dyDescent="0.3">
      <c r="B992">
        <v>463.61902179543807</v>
      </c>
      <c r="C992">
        <v>470.87226760840827</v>
      </c>
      <c r="D992">
        <v>470.12587120000001</v>
      </c>
      <c r="E992">
        <v>469.59503860000001</v>
      </c>
    </row>
    <row r="993" spans="2:5" x14ac:dyDescent="0.3">
      <c r="B993">
        <v>469.17604918879692</v>
      </c>
      <c r="C993">
        <v>472.39777286626577</v>
      </c>
      <c r="D993">
        <v>470.25091300000003</v>
      </c>
      <c r="E993">
        <v>469.74873550000001</v>
      </c>
    </row>
    <row r="994" spans="2:5" x14ac:dyDescent="0.3">
      <c r="B994">
        <v>472.70151717965081</v>
      </c>
      <c r="C994">
        <v>473.5969781211208</v>
      </c>
      <c r="D994">
        <v>469.94311920000001</v>
      </c>
      <c r="E994">
        <v>469.72919780000001</v>
      </c>
    </row>
    <row r="995" spans="2:5" x14ac:dyDescent="0.3">
      <c r="B995">
        <v>471.21468233832309</v>
      </c>
      <c r="C995">
        <v>478.21987183617466</v>
      </c>
      <c r="D995">
        <v>470.2340183</v>
      </c>
      <c r="E995">
        <v>469.5842892</v>
      </c>
    </row>
    <row r="996" spans="2:5" x14ac:dyDescent="0.3">
      <c r="B996">
        <v>457.90719145126371</v>
      </c>
      <c r="C996">
        <v>465.10114862076574</v>
      </c>
      <c r="D996">
        <v>470.34184279999999</v>
      </c>
      <c r="E996">
        <v>469.594088</v>
      </c>
    </row>
    <row r="997" spans="2:5" x14ac:dyDescent="0.3">
      <c r="B997">
        <v>466.06011411233709</v>
      </c>
      <c r="C997">
        <v>474.75412486814952</v>
      </c>
      <c r="D997">
        <v>470.17215479999999</v>
      </c>
      <c r="E997">
        <v>469.6362871</v>
      </c>
    </row>
    <row r="998" spans="2:5" x14ac:dyDescent="0.3">
      <c r="B998">
        <v>474.67806873219752</v>
      </c>
      <c r="C998">
        <v>459.65510756723518</v>
      </c>
      <c r="D998">
        <v>469.9570622</v>
      </c>
      <c r="E998">
        <v>469.58298000000002</v>
      </c>
    </row>
    <row r="999" spans="2:5" x14ac:dyDescent="0.3">
      <c r="B999">
        <v>480.39116335945914</v>
      </c>
      <c r="C999">
        <v>463.61316963950094</v>
      </c>
      <c r="D999">
        <v>470.14757739999999</v>
      </c>
      <c r="E999">
        <v>469.520376</v>
      </c>
    </row>
    <row r="1000" spans="2:5" x14ac:dyDescent="0.3">
      <c r="B1000">
        <v>467.95622718465319</v>
      </c>
      <c r="C1000">
        <v>473.73014277087174</v>
      </c>
      <c r="D1000">
        <v>470.28889629999998</v>
      </c>
      <c r="E1000">
        <v>469.63503580000003</v>
      </c>
    </row>
    <row r="1001" spans="2:5" x14ac:dyDescent="0.3">
      <c r="B1001">
        <v>470.04024750678713</v>
      </c>
      <c r="C1001">
        <v>463.13863955985323</v>
      </c>
      <c r="D1001">
        <v>470.17585630000002</v>
      </c>
      <c r="E1001">
        <v>469.63125930000001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COMPARISON RESULTs</vt:lpstr>
      <vt:lpstr>LiDAR</vt:lpstr>
      <vt:lpstr>UAVs</vt:lpstr>
      <vt:lpstr>Renting LiDAR - UAVs</vt:lpstr>
      <vt:lpstr>Project finance</vt:lpstr>
      <vt:lpstr>Yearly cashflow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Anh Nguyen</dc:creator>
  <cp:lastModifiedBy>Phuong Anh Nguyen</cp:lastModifiedBy>
  <dcterms:created xsi:type="dcterms:W3CDTF">2025-10-21T08:25:29Z</dcterms:created>
  <dcterms:modified xsi:type="dcterms:W3CDTF">2026-05-22T11:25:20Z</dcterms:modified>
</cp:coreProperties>
</file>